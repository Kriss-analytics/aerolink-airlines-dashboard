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hris\Desktop\LIVE CLASSES NEBIANT EXCEL FILES\Week 3 Excel Dashboarding\"/>
    </mc:Choice>
  </mc:AlternateContent>
  <xr:revisionPtr revIDLastSave="0" documentId="13_ncr:1_{D464EB8C-7088-464D-B750-46E7679A9268}" xr6:coauthVersionLast="47" xr6:coauthVersionMax="47" xr10:uidLastSave="{00000000-0000-0000-0000-000000000000}"/>
  <bookViews>
    <workbookView xWindow="-110" yWindow="-110" windowWidth="19420" windowHeight="10420" firstSheet="2" activeTab="5" xr2:uid="{00000000-000D-0000-FFFF-FFFF00000000}"/>
  </bookViews>
  <sheets>
    <sheet name="Sheet1" sheetId="1" r:id="rId1"/>
    <sheet name="SOLUTION" sheetId="4" r:id="rId2"/>
    <sheet name="Sheet1 (2)" sheetId="7" r:id="rId3"/>
    <sheet name="DATA SET" sheetId="6" r:id="rId4"/>
    <sheet name="PIVOT TABLE" sheetId="10" r:id="rId5"/>
    <sheet name="DASHBOARD" sheetId="11" r:id="rId6"/>
  </sheets>
  <definedNames>
    <definedName name="_xlnm._FilterDatabase" localSheetId="3" hidden="1">'DATA SET'!$A$1:$J$14</definedName>
    <definedName name="_xlnm._FilterDatabase" localSheetId="0" hidden="1">Sheet1!$A$1:$J$14</definedName>
    <definedName name="_xlnm._FilterDatabase" localSheetId="2" hidden="1">'Sheet1 (2)'!$A$1:$J$14</definedName>
    <definedName name="_xlnm._FilterDatabase" localSheetId="1" hidden="1">SOLUTION!$A$1:$J$14</definedName>
    <definedName name="_xlcn.WorksheetConnection_AeroLink_Airlines_Flight_Performance_Analysiscleandata2.xlsxTable2421" hidden="1">Table242[]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</pivotCaches>
  <extLst>
    <ext xmlns:x15="http://schemas.microsoft.com/office/spreadsheetml/2010/11/main" uri="{FCE2AD5D-F65C-4FA6-A056-5C36A1767C68}">
      <x15:dataModel>
        <x15:modelTables>
          <x15:modelTable id="Table242" name="Table242" connection="WorksheetConnection_AeroLink_Airlines_Flight_Performance_Analysis clean data2.xlsx!Table242"/>
        </x15:modelTables>
        <x15:extLst>
          <ext xmlns:x16="http://schemas.microsoft.com/office/spreadsheetml/2014/11/main" uri="{9835A34E-60A6-4A7C-AAB8-D5F71C897F49}">
            <x16:modelTimeGroupings>
              <x16:modelTimeGrouping tableName="Table242" columnName="Flight Date" columnId="Flight Date">
                <x16:calculatedTimeColumn columnName="Flight Date (Month Index)" columnId="Flight Date (Month Index)" contentType="monthsindex" isSelected="1"/>
                <x16:calculatedTimeColumn columnName="Flight Date (Month)" columnId="Fligh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6" l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H354" i="7"/>
  <c r="K351" i="7"/>
  <c r="K350" i="7"/>
  <c r="K349" i="7"/>
  <c r="K348" i="7"/>
  <c r="K347" i="7"/>
  <c r="K346" i="7"/>
  <c r="K345" i="7"/>
  <c r="K344" i="7"/>
  <c r="K343" i="7"/>
  <c r="K342" i="7"/>
  <c r="K341" i="7"/>
  <c r="L340" i="7"/>
  <c r="K340" i="7"/>
  <c r="K339" i="7"/>
  <c r="K338" i="7"/>
  <c r="K337" i="7"/>
  <c r="K336" i="7"/>
  <c r="K335" i="7"/>
  <c r="L334" i="7"/>
  <c r="K334" i="7"/>
  <c r="K333" i="7"/>
  <c r="K332" i="7"/>
  <c r="K331" i="7"/>
  <c r="K330" i="7"/>
  <c r="K329" i="7"/>
  <c r="L328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L308" i="7"/>
  <c r="K308" i="7"/>
  <c r="K307" i="7"/>
  <c r="K306" i="7"/>
  <c r="K305" i="7"/>
  <c r="K304" i="7"/>
  <c r="K303" i="7"/>
  <c r="L302" i="7"/>
  <c r="K302" i="7"/>
  <c r="K301" i="7"/>
  <c r="K300" i="7"/>
  <c r="K299" i="7"/>
  <c r="K298" i="7"/>
  <c r="K297" i="7"/>
  <c r="L296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L276" i="7"/>
  <c r="K276" i="7"/>
  <c r="K275" i="7"/>
  <c r="K274" i="7"/>
  <c r="K273" i="7"/>
  <c r="K272" i="7"/>
  <c r="K271" i="7"/>
  <c r="L270" i="7"/>
  <c r="K270" i="7"/>
  <c r="K269" i="7"/>
  <c r="K268" i="7"/>
  <c r="K267" i="7"/>
  <c r="K266" i="7"/>
  <c r="K265" i="7"/>
  <c r="L264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L244" i="7"/>
  <c r="K244" i="7"/>
  <c r="K243" i="7"/>
  <c r="K242" i="7"/>
  <c r="K241" i="7"/>
  <c r="K240" i="7"/>
  <c r="K239" i="7"/>
  <c r="L238" i="7"/>
  <c r="K238" i="7"/>
  <c r="K237" i="7"/>
  <c r="K236" i="7"/>
  <c r="K235" i="7"/>
  <c r="K234" i="7"/>
  <c r="K233" i="7"/>
  <c r="L232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L212" i="7"/>
  <c r="K212" i="7"/>
  <c r="K211" i="7"/>
  <c r="K210" i="7"/>
  <c r="K209" i="7"/>
  <c r="K208" i="7"/>
  <c r="K207" i="7"/>
  <c r="L206" i="7"/>
  <c r="K206" i="7"/>
  <c r="K205" i="7"/>
  <c r="K204" i="7"/>
  <c r="K203" i="7"/>
  <c r="K202" i="7"/>
  <c r="K201" i="7"/>
  <c r="L200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L180" i="7"/>
  <c r="K180" i="7"/>
  <c r="K179" i="7"/>
  <c r="K178" i="7"/>
  <c r="K177" i="7"/>
  <c r="K176" i="7"/>
  <c r="K175" i="7"/>
  <c r="K174" i="7"/>
  <c r="K173" i="7"/>
  <c r="L172" i="7"/>
  <c r="K172" i="7"/>
  <c r="K171" i="7"/>
  <c r="K170" i="7"/>
  <c r="K169" i="7"/>
  <c r="K168" i="7"/>
  <c r="K167" i="7"/>
  <c r="K166" i="7"/>
  <c r="K165" i="7"/>
  <c r="L164" i="7"/>
  <c r="K164" i="7"/>
  <c r="K163" i="7"/>
  <c r="K162" i="7"/>
  <c r="K161" i="7"/>
  <c r="K160" i="7"/>
  <c r="K159" i="7"/>
  <c r="K158" i="7"/>
  <c r="K157" i="7"/>
  <c r="L156" i="7"/>
  <c r="K156" i="7"/>
  <c r="K155" i="7"/>
  <c r="K154" i="7"/>
  <c r="K153" i="7"/>
  <c r="K152" i="7"/>
  <c r="K151" i="7"/>
  <c r="K150" i="7"/>
  <c r="K149" i="7"/>
  <c r="L148" i="7"/>
  <c r="K148" i="7"/>
  <c r="K147" i="7"/>
  <c r="K146" i="7"/>
  <c r="K145" i="7"/>
  <c r="K144" i="7"/>
  <c r="K143" i="7"/>
  <c r="K142" i="7"/>
  <c r="K141" i="7"/>
  <c r="L140" i="7"/>
  <c r="K140" i="7"/>
  <c r="K139" i="7"/>
  <c r="K138" i="7"/>
  <c r="K137" i="7"/>
  <c r="K136" i="7"/>
  <c r="K135" i="7"/>
  <c r="K134" i="7"/>
  <c r="K133" i="7"/>
  <c r="L132" i="7"/>
  <c r="K132" i="7"/>
  <c r="K131" i="7"/>
  <c r="K130" i="7"/>
  <c r="K129" i="7"/>
  <c r="K128" i="7"/>
  <c r="K127" i="7"/>
  <c r="K126" i="7"/>
  <c r="K125" i="7"/>
  <c r="L124" i="7"/>
  <c r="K124" i="7"/>
  <c r="K123" i="7"/>
  <c r="K122" i="7"/>
  <c r="K121" i="7"/>
  <c r="K120" i="7"/>
  <c r="K119" i="7"/>
  <c r="K118" i="7"/>
  <c r="K117" i="7"/>
  <c r="L116" i="7"/>
  <c r="K116" i="7"/>
  <c r="K115" i="7"/>
  <c r="K114" i="7"/>
  <c r="K113" i="7"/>
  <c r="K112" i="7"/>
  <c r="K111" i="7"/>
  <c r="K110" i="7"/>
  <c r="K109" i="7"/>
  <c r="L108" i="7"/>
  <c r="K108" i="7"/>
  <c r="K107" i="7"/>
  <c r="K106" i="7"/>
  <c r="K105" i="7"/>
  <c r="K104" i="7"/>
  <c r="K103" i="7"/>
  <c r="K102" i="7"/>
  <c r="K101" i="7"/>
  <c r="L100" i="7"/>
  <c r="K100" i="7"/>
  <c r="K99" i="7"/>
  <c r="K98" i="7"/>
  <c r="K97" i="7"/>
  <c r="K96" i="7"/>
  <c r="K95" i="7"/>
  <c r="K94" i="7"/>
  <c r="K93" i="7"/>
  <c r="L92" i="7"/>
  <c r="K92" i="7"/>
  <c r="K91" i="7"/>
  <c r="K90" i="7"/>
  <c r="K89" i="7"/>
  <c r="K88" i="7"/>
  <c r="K87" i="7"/>
  <c r="K86" i="7"/>
  <c r="K85" i="7"/>
  <c r="L84" i="7"/>
  <c r="K84" i="7"/>
  <c r="K83" i="7"/>
  <c r="K82" i="7"/>
  <c r="K81" i="7"/>
  <c r="K80" i="7"/>
  <c r="K79" i="7"/>
  <c r="K78" i="7"/>
  <c r="K77" i="7"/>
  <c r="L76" i="7"/>
  <c r="K76" i="7"/>
  <c r="K75" i="7"/>
  <c r="K74" i="7"/>
  <c r="K73" i="7"/>
  <c r="K72" i="7"/>
  <c r="K71" i="7"/>
  <c r="K70" i="7"/>
  <c r="K69" i="7"/>
  <c r="L68" i="7"/>
  <c r="K68" i="7"/>
  <c r="K67" i="7"/>
  <c r="K66" i="7"/>
  <c r="K65" i="7"/>
  <c r="K64" i="7"/>
  <c r="K63" i="7"/>
  <c r="K62" i="7"/>
  <c r="K61" i="7"/>
  <c r="L60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O2" i="7"/>
  <c r="L162" i="7" s="1"/>
  <c r="L2" i="7"/>
  <c r="K2" i="7"/>
  <c r="M351" i="6"/>
  <c r="K351" i="6"/>
  <c r="M350" i="6"/>
  <c r="K350" i="6"/>
  <c r="M349" i="6"/>
  <c r="K349" i="6"/>
  <c r="M348" i="6"/>
  <c r="K348" i="6"/>
  <c r="M347" i="6"/>
  <c r="K347" i="6"/>
  <c r="M346" i="6"/>
  <c r="K346" i="6"/>
  <c r="M345" i="6"/>
  <c r="K345" i="6"/>
  <c r="M344" i="6"/>
  <c r="K344" i="6"/>
  <c r="M343" i="6"/>
  <c r="K343" i="6"/>
  <c r="M342" i="6"/>
  <c r="K342" i="6"/>
  <c r="M341" i="6"/>
  <c r="K341" i="6"/>
  <c r="M340" i="6"/>
  <c r="K340" i="6"/>
  <c r="M339" i="6"/>
  <c r="K339" i="6"/>
  <c r="M338" i="6"/>
  <c r="K338" i="6"/>
  <c r="M337" i="6"/>
  <c r="K337" i="6"/>
  <c r="M336" i="6"/>
  <c r="K336" i="6"/>
  <c r="M335" i="6"/>
  <c r="K335" i="6"/>
  <c r="M334" i="6"/>
  <c r="K334" i="6"/>
  <c r="M333" i="6"/>
  <c r="K333" i="6"/>
  <c r="M332" i="6"/>
  <c r="K332" i="6"/>
  <c r="M331" i="6"/>
  <c r="K331" i="6"/>
  <c r="M330" i="6"/>
  <c r="K330" i="6"/>
  <c r="M329" i="6"/>
  <c r="K329" i="6"/>
  <c r="M328" i="6"/>
  <c r="K328" i="6"/>
  <c r="M327" i="6"/>
  <c r="K327" i="6"/>
  <c r="M326" i="6"/>
  <c r="K326" i="6"/>
  <c r="M325" i="6"/>
  <c r="K325" i="6"/>
  <c r="M324" i="6"/>
  <c r="K324" i="6"/>
  <c r="M323" i="6"/>
  <c r="K323" i="6"/>
  <c r="M322" i="6"/>
  <c r="K322" i="6"/>
  <c r="M321" i="6"/>
  <c r="K321" i="6"/>
  <c r="M320" i="6"/>
  <c r="K320" i="6"/>
  <c r="M319" i="6"/>
  <c r="K319" i="6"/>
  <c r="M318" i="6"/>
  <c r="K318" i="6"/>
  <c r="M317" i="6"/>
  <c r="K317" i="6"/>
  <c r="M316" i="6"/>
  <c r="K316" i="6"/>
  <c r="M315" i="6"/>
  <c r="K315" i="6"/>
  <c r="M314" i="6"/>
  <c r="K314" i="6"/>
  <c r="M313" i="6"/>
  <c r="K313" i="6"/>
  <c r="M312" i="6"/>
  <c r="K312" i="6"/>
  <c r="M311" i="6"/>
  <c r="K311" i="6"/>
  <c r="M310" i="6"/>
  <c r="K310" i="6"/>
  <c r="M309" i="6"/>
  <c r="K309" i="6"/>
  <c r="M308" i="6"/>
  <c r="K308" i="6"/>
  <c r="M307" i="6"/>
  <c r="K307" i="6"/>
  <c r="M306" i="6"/>
  <c r="K306" i="6"/>
  <c r="M305" i="6"/>
  <c r="K305" i="6"/>
  <c r="M304" i="6"/>
  <c r="K304" i="6"/>
  <c r="M303" i="6"/>
  <c r="K303" i="6"/>
  <c r="M302" i="6"/>
  <c r="K302" i="6"/>
  <c r="M301" i="6"/>
  <c r="K301" i="6"/>
  <c r="M300" i="6"/>
  <c r="K300" i="6"/>
  <c r="M299" i="6"/>
  <c r="K299" i="6"/>
  <c r="M298" i="6"/>
  <c r="K298" i="6"/>
  <c r="M297" i="6"/>
  <c r="K297" i="6"/>
  <c r="M296" i="6"/>
  <c r="K296" i="6"/>
  <c r="M295" i="6"/>
  <c r="K295" i="6"/>
  <c r="M294" i="6"/>
  <c r="K294" i="6"/>
  <c r="M293" i="6"/>
  <c r="K293" i="6"/>
  <c r="M292" i="6"/>
  <c r="K292" i="6"/>
  <c r="M291" i="6"/>
  <c r="K291" i="6"/>
  <c r="M290" i="6"/>
  <c r="K290" i="6"/>
  <c r="M289" i="6"/>
  <c r="K289" i="6"/>
  <c r="M288" i="6"/>
  <c r="K288" i="6"/>
  <c r="M287" i="6"/>
  <c r="K287" i="6"/>
  <c r="M286" i="6"/>
  <c r="K286" i="6"/>
  <c r="M285" i="6"/>
  <c r="K285" i="6"/>
  <c r="M284" i="6"/>
  <c r="K284" i="6"/>
  <c r="M283" i="6"/>
  <c r="K283" i="6"/>
  <c r="M282" i="6"/>
  <c r="K282" i="6"/>
  <c r="M281" i="6"/>
  <c r="K281" i="6"/>
  <c r="M280" i="6"/>
  <c r="K280" i="6"/>
  <c r="M279" i="6"/>
  <c r="K279" i="6"/>
  <c r="M278" i="6"/>
  <c r="K278" i="6"/>
  <c r="M277" i="6"/>
  <c r="K277" i="6"/>
  <c r="M276" i="6"/>
  <c r="K276" i="6"/>
  <c r="M275" i="6"/>
  <c r="K275" i="6"/>
  <c r="M274" i="6"/>
  <c r="K274" i="6"/>
  <c r="M273" i="6"/>
  <c r="K273" i="6"/>
  <c r="M272" i="6"/>
  <c r="K272" i="6"/>
  <c r="M271" i="6"/>
  <c r="K271" i="6"/>
  <c r="M270" i="6"/>
  <c r="K270" i="6"/>
  <c r="M269" i="6"/>
  <c r="K269" i="6"/>
  <c r="M268" i="6"/>
  <c r="K268" i="6"/>
  <c r="M267" i="6"/>
  <c r="K267" i="6"/>
  <c r="M266" i="6"/>
  <c r="K266" i="6"/>
  <c r="M265" i="6"/>
  <c r="K265" i="6"/>
  <c r="M264" i="6"/>
  <c r="K264" i="6"/>
  <c r="M263" i="6"/>
  <c r="K263" i="6"/>
  <c r="M262" i="6"/>
  <c r="K262" i="6"/>
  <c r="M261" i="6"/>
  <c r="K261" i="6"/>
  <c r="M260" i="6"/>
  <c r="K260" i="6"/>
  <c r="M259" i="6"/>
  <c r="K259" i="6"/>
  <c r="M258" i="6"/>
  <c r="K258" i="6"/>
  <c r="M257" i="6"/>
  <c r="K257" i="6"/>
  <c r="M256" i="6"/>
  <c r="K256" i="6"/>
  <c r="M255" i="6"/>
  <c r="K255" i="6"/>
  <c r="M254" i="6"/>
  <c r="K254" i="6"/>
  <c r="M253" i="6"/>
  <c r="K253" i="6"/>
  <c r="M252" i="6"/>
  <c r="K252" i="6"/>
  <c r="M251" i="6"/>
  <c r="K251" i="6"/>
  <c r="M250" i="6"/>
  <c r="K250" i="6"/>
  <c r="M249" i="6"/>
  <c r="K249" i="6"/>
  <c r="M248" i="6"/>
  <c r="K248" i="6"/>
  <c r="M247" i="6"/>
  <c r="K247" i="6"/>
  <c r="M246" i="6"/>
  <c r="K246" i="6"/>
  <c r="M245" i="6"/>
  <c r="K245" i="6"/>
  <c r="M244" i="6"/>
  <c r="K244" i="6"/>
  <c r="M243" i="6"/>
  <c r="K243" i="6"/>
  <c r="M242" i="6"/>
  <c r="K242" i="6"/>
  <c r="M241" i="6"/>
  <c r="K241" i="6"/>
  <c r="M240" i="6"/>
  <c r="K240" i="6"/>
  <c r="M239" i="6"/>
  <c r="K239" i="6"/>
  <c r="M238" i="6"/>
  <c r="K238" i="6"/>
  <c r="M237" i="6"/>
  <c r="K237" i="6"/>
  <c r="M236" i="6"/>
  <c r="K236" i="6"/>
  <c r="M235" i="6"/>
  <c r="K235" i="6"/>
  <c r="M234" i="6"/>
  <c r="K234" i="6"/>
  <c r="M233" i="6"/>
  <c r="K233" i="6"/>
  <c r="M232" i="6"/>
  <c r="K232" i="6"/>
  <c r="M231" i="6"/>
  <c r="K231" i="6"/>
  <c r="M230" i="6"/>
  <c r="K230" i="6"/>
  <c r="M229" i="6"/>
  <c r="K229" i="6"/>
  <c r="M228" i="6"/>
  <c r="K228" i="6"/>
  <c r="M227" i="6"/>
  <c r="K227" i="6"/>
  <c r="M226" i="6"/>
  <c r="K226" i="6"/>
  <c r="M225" i="6"/>
  <c r="K225" i="6"/>
  <c r="M224" i="6"/>
  <c r="K224" i="6"/>
  <c r="M223" i="6"/>
  <c r="K223" i="6"/>
  <c r="M222" i="6"/>
  <c r="K222" i="6"/>
  <c r="M221" i="6"/>
  <c r="K221" i="6"/>
  <c r="M220" i="6"/>
  <c r="K220" i="6"/>
  <c r="M219" i="6"/>
  <c r="K219" i="6"/>
  <c r="M218" i="6"/>
  <c r="K218" i="6"/>
  <c r="M217" i="6"/>
  <c r="K217" i="6"/>
  <c r="M216" i="6"/>
  <c r="K216" i="6"/>
  <c r="M215" i="6"/>
  <c r="K215" i="6"/>
  <c r="M214" i="6"/>
  <c r="K214" i="6"/>
  <c r="M213" i="6"/>
  <c r="K213" i="6"/>
  <c r="M212" i="6"/>
  <c r="K212" i="6"/>
  <c r="M211" i="6"/>
  <c r="K211" i="6"/>
  <c r="M210" i="6"/>
  <c r="K210" i="6"/>
  <c r="M209" i="6"/>
  <c r="K209" i="6"/>
  <c r="M208" i="6"/>
  <c r="K208" i="6"/>
  <c r="M207" i="6"/>
  <c r="K207" i="6"/>
  <c r="M206" i="6"/>
  <c r="K206" i="6"/>
  <c r="M205" i="6"/>
  <c r="K205" i="6"/>
  <c r="M204" i="6"/>
  <c r="K204" i="6"/>
  <c r="M203" i="6"/>
  <c r="K203" i="6"/>
  <c r="M202" i="6"/>
  <c r="K202" i="6"/>
  <c r="M201" i="6"/>
  <c r="K201" i="6"/>
  <c r="M200" i="6"/>
  <c r="K200" i="6"/>
  <c r="M199" i="6"/>
  <c r="K199" i="6"/>
  <c r="M198" i="6"/>
  <c r="K198" i="6"/>
  <c r="M197" i="6"/>
  <c r="K197" i="6"/>
  <c r="M196" i="6"/>
  <c r="K196" i="6"/>
  <c r="M195" i="6"/>
  <c r="K195" i="6"/>
  <c r="M194" i="6"/>
  <c r="K194" i="6"/>
  <c r="M193" i="6"/>
  <c r="K193" i="6"/>
  <c r="M192" i="6"/>
  <c r="K192" i="6"/>
  <c r="M191" i="6"/>
  <c r="K191" i="6"/>
  <c r="M190" i="6"/>
  <c r="K190" i="6"/>
  <c r="M189" i="6"/>
  <c r="K189" i="6"/>
  <c r="M188" i="6"/>
  <c r="K188" i="6"/>
  <c r="M187" i="6"/>
  <c r="K187" i="6"/>
  <c r="M186" i="6"/>
  <c r="K186" i="6"/>
  <c r="M185" i="6"/>
  <c r="K185" i="6"/>
  <c r="M184" i="6"/>
  <c r="K184" i="6"/>
  <c r="M183" i="6"/>
  <c r="K183" i="6"/>
  <c r="M182" i="6"/>
  <c r="K182" i="6"/>
  <c r="M181" i="6"/>
  <c r="K181" i="6"/>
  <c r="M180" i="6"/>
  <c r="K180" i="6"/>
  <c r="M179" i="6"/>
  <c r="K179" i="6"/>
  <c r="M178" i="6"/>
  <c r="K178" i="6"/>
  <c r="M177" i="6"/>
  <c r="K177" i="6"/>
  <c r="M176" i="6"/>
  <c r="K176" i="6"/>
  <c r="M175" i="6"/>
  <c r="K175" i="6"/>
  <c r="M174" i="6"/>
  <c r="K174" i="6"/>
  <c r="M173" i="6"/>
  <c r="K173" i="6"/>
  <c r="M172" i="6"/>
  <c r="K172" i="6"/>
  <c r="M171" i="6"/>
  <c r="K171" i="6"/>
  <c r="M170" i="6"/>
  <c r="K170" i="6"/>
  <c r="M169" i="6"/>
  <c r="K169" i="6"/>
  <c r="M168" i="6"/>
  <c r="K168" i="6"/>
  <c r="M167" i="6"/>
  <c r="K167" i="6"/>
  <c r="M166" i="6"/>
  <c r="K166" i="6"/>
  <c r="M165" i="6"/>
  <c r="K165" i="6"/>
  <c r="M164" i="6"/>
  <c r="K164" i="6"/>
  <c r="M163" i="6"/>
  <c r="K163" i="6"/>
  <c r="M162" i="6"/>
  <c r="K162" i="6"/>
  <c r="M161" i="6"/>
  <c r="K161" i="6"/>
  <c r="M160" i="6"/>
  <c r="K160" i="6"/>
  <c r="M159" i="6"/>
  <c r="K159" i="6"/>
  <c r="M158" i="6"/>
  <c r="K158" i="6"/>
  <c r="M157" i="6"/>
  <c r="K157" i="6"/>
  <c r="M156" i="6"/>
  <c r="K156" i="6"/>
  <c r="M155" i="6"/>
  <c r="K155" i="6"/>
  <c r="M154" i="6"/>
  <c r="K154" i="6"/>
  <c r="M153" i="6"/>
  <c r="K153" i="6"/>
  <c r="M152" i="6"/>
  <c r="K152" i="6"/>
  <c r="M151" i="6"/>
  <c r="K151" i="6"/>
  <c r="M150" i="6"/>
  <c r="K150" i="6"/>
  <c r="M149" i="6"/>
  <c r="K149" i="6"/>
  <c r="M148" i="6"/>
  <c r="K148" i="6"/>
  <c r="M147" i="6"/>
  <c r="K147" i="6"/>
  <c r="M146" i="6"/>
  <c r="K146" i="6"/>
  <c r="M145" i="6"/>
  <c r="K145" i="6"/>
  <c r="M144" i="6"/>
  <c r="K144" i="6"/>
  <c r="M143" i="6"/>
  <c r="K143" i="6"/>
  <c r="M142" i="6"/>
  <c r="K142" i="6"/>
  <c r="M141" i="6"/>
  <c r="K141" i="6"/>
  <c r="M140" i="6"/>
  <c r="K140" i="6"/>
  <c r="M139" i="6"/>
  <c r="K139" i="6"/>
  <c r="M138" i="6"/>
  <c r="K138" i="6"/>
  <c r="M137" i="6"/>
  <c r="K137" i="6"/>
  <c r="M136" i="6"/>
  <c r="K136" i="6"/>
  <c r="M135" i="6"/>
  <c r="K135" i="6"/>
  <c r="M134" i="6"/>
  <c r="K134" i="6"/>
  <c r="M133" i="6"/>
  <c r="K133" i="6"/>
  <c r="M132" i="6"/>
  <c r="K132" i="6"/>
  <c r="M131" i="6"/>
  <c r="K131" i="6"/>
  <c r="M130" i="6"/>
  <c r="K130" i="6"/>
  <c r="M129" i="6"/>
  <c r="K129" i="6"/>
  <c r="M128" i="6"/>
  <c r="K128" i="6"/>
  <c r="M127" i="6"/>
  <c r="K127" i="6"/>
  <c r="M126" i="6"/>
  <c r="K126" i="6"/>
  <c r="M125" i="6"/>
  <c r="K125" i="6"/>
  <c r="M124" i="6"/>
  <c r="K124" i="6"/>
  <c r="M123" i="6"/>
  <c r="K123" i="6"/>
  <c r="M122" i="6"/>
  <c r="K122" i="6"/>
  <c r="M121" i="6"/>
  <c r="K121" i="6"/>
  <c r="M120" i="6"/>
  <c r="K120" i="6"/>
  <c r="M119" i="6"/>
  <c r="K119" i="6"/>
  <c r="M118" i="6"/>
  <c r="K118" i="6"/>
  <c r="M117" i="6"/>
  <c r="K117" i="6"/>
  <c r="M116" i="6"/>
  <c r="K116" i="6"/>
  <c r="M115" i="6"/>
  <c r="K115" i="6"/>
  <c r="M114" i="6"/>
  <c r="K114" i="6"/>
  <c r="M113" i="6"/>
  <c r="K113" i="6"/>
  <c r="M112" i="6"/>
  <c r="K112" i="6"/>
  <c r="M111" i="6"/>
  <c r="K111" i="6"/>
  <c r="M110" i="6"/>
  <c r="K110" i="6"/>
  <c r="M109" i="6"/>
  <c r="K109" i="6"/>
  <c r="M108" i="6"/>
  <c r="K108" i="6"/>
  <c r="M107" i="6"/>
  <c r="K107" i="6"/>
  <c r="M106" i="6"/>
  <c r="K106" i="6"/>
  <c r="M105" i="6"/>
  <c r="K105" i="6"/>
  <c r="M104" i="6"/>
  <c r="K104" i="6"/>
  <c r="M103" i="6"/>
  <c r="K103" i="6"/>
  <c r="M102" i="6"/>
  <c r="K102" i="6"/>
  <c r="M101" i="6"/>
  <c r="K101" i="6"/>
  <c r="M100" i="6"/>
  <c r="K100" i="6"/>
  <c r="M99" i="6"/>
  <c r="K99" i="6"/>
  <c r="M98" i="6"/>
  <c r="K98" i="6"/>
  <c r="M97" i="6"/>
  <c r="K97" i="6"/>
  <c r="M96" i="6"/>
  <c r="K96" i="6"/>
  <c r="M95" i="6"/>
  <c r="K95" i="6"/>
  <c r="M94" i="6"/>
  <c r="K94" i="6"/>
  <c r="M93" i="6"/>
  <c r="K93" i="6"/>
  <c r="M92" i="6"/>
  <c r="K92" i="6"/>
  <c r="M91" i="6"/>
  <c r="K91" i="6"/>
  <c r="M90" i="6"/>
  <c r="K90" i="6"/>
  <c r="M89" i="6"/>
  <c r="K89" i="6"/>
  <c r="M88" i="6"/>
  <c r="K88" i="6"/>
  <c r="M87" i="6"/>
  <c r="K87" i="6"/>
  <c r="M86" i="6"/>
  <c r="K86" i="6"/>
  <c r="M85" i="6"/>
  <c r="K85" i="6"/>
  <c r="M84" i="6"/>
  <c r="K84" i="6"/>
  <c r="M83" i="6"/>
  <c r="K83" i="6"/>
  <c r="M82" i="6"/>
  <c r="K82" i="6"/>
  <c r="M81" i="6"/>
  <c r="K81" i="6"/>
  <c r="M80" i="6"/>
  <c r="K80" i="6"/>
  <c r="M79" i="6"/>
  <c r="K79" i="6"/>
  <c r="M78" i="6"/>
  <c r="K78" i="6"/>
  <c r="M77" i="6"/>
  <c r="K77" i="6"/>
  <c r="M76" i="6"/>
  <c r="K76" i="6"/>
  <c r="M75" i="6"/>
  <c r="K75" i="6"/>
  <c r="M74" i="6"/>
  <c r="K74" i="6"/>
  <c r="M73" i="6"/>
  <c r="K73" i="6"/>
  <c r="M72" i="6"/>
  <c r="K72" i="6"/>
  <c r="M71" i="6"/>
  <c r="K71" i="6"/>
  <c r="M70" i="6"/>
  <c r="K70" i="6"/>
  <c r="M69" i="6"/>
  <c r="K69" i="6"/>
  <c r="M68" i="6"/>
  <c r="K68" i="6"/>
  <c r="M67" i="6"/>
  <c r="K67" i="6"/>
  <c r="M66" i="6"/>
  <c r="K66" i="6"/>
  <c r="M65" i="6"/>
  <c r="K65" i="6"/>
  <c r="M64" i="6"/>
  <c r="K64" i="6"/>
  <c r="M63" i="6"/>
  <c r="K63" i="6"/>
  <c r="M62" i="6"/>
  <c r="K62" i="6"/>
  <c r="M61" i="6"/>
  <c r="K61" i="6"/>
  <c r="M60" i="6"/>
  <c r="K60" i="6"/>
  <c r="M59" i="6"/>
  <c r="K59" i="6"/>
  <c r="M58" i="6"/>
  <c r="K58" i="6"/>
  <c r="M57" i="6"/>
  <c r="K57" i="6"/>
  <c r="M56" i="6"/>
  <c r="K56" i="6"/>
  <c r="M55" i="6"/>
  <c r="K55" i="6"/>
  <c r="M54" i="6"/>
  <c r="K54" i="6"/>
  <c r="M53" i="6"/>
  <c r="K53" i="6"/>
  <c r="M52" i="6"/>
  <c r="K52" i="6"/>
  <c r="M51" i="6"/>
  <c r="K51" i="6"/>
  <c r="M50" i="6"/>
  <c r="K50" i="6"/>
  <c r="M49" i="6"/>
  <c r="K49" i="6"/>
  <c r="M48" i="6"/>
  <c r="K48" i="6"/>
  <c r="M47" i="6"/>
  <c r="K47" i="6"/>
  <c r="M46" i="6"/>
  <c r="K46" i="6"/>
  <c r="M45" i="6"/>
  <c r="K45" i="6"/>
  <c r="M44" i="6"/>
  <c r="K44" i="6"/>
  <c r="M43" i="6"/>
  <c r="K43" i="6"/>
  <c r="M42" i="6"/>
  <c r="K42" i="6"/>
  <c r="M41" i="6"/>
  <c r="K41" i="6"/>
  <c r="M40" i="6"/>
  <c r="K40" i="6"/>
  <c r="M39" i="6"/>
  <c r="K39" i="6"/>
  <c r="M38" i="6"/>
  <c r="K38" i="6"/>
  <c r="M37" i="6"/>
  <c r="K37" i="6"/>
  <c r="M36" i="6"/>
  <c r="K36" i="6"/>
  <c r="M35" i="6"/>
  <c r="K35" i="6"/>
  <c r="M34" i="6"/>
  <c r="K34" i="6"/>
  <c r="R33" i="6"/>
  <c r="M33" i="6"/>
  <c r="K33" i="6"/>
  <c r="R32" i="6"/>
  <c r="M32" i="6"/>
  <c r="K32" i="6"/>
  <c r="M31" i="6"/>
  <c r="K31" i="6"/>
  <c r="M30" i="6"/>
  <c r="K30" i="6"/>
  <c r="M29" i="6"/>
  <c r="K29" i="6"/>
  <c r="R28" i="6"/>
  <c r="M28" i="6"/>
  <c r="K28" i="6"/>
  <c r="R27" i="6"/>
  <c r="M27" i="6"/>
  <c r="K27" i="6"/>
  <c r="M26" i="6"/>
  <c r="K26" i="6"/>
  <c r="M25" i="6"/>
  <c r="K25" i="6"/>
  <c r="M24" i="6"/>
  <c r="K24" i="6"/>
  <c r="M23" i="6"/>
  <c r="K23" i="6"/>
  <c r="L23" i="6" s="1"/>
  <c r="R22" i="6"/>
  <c r="M22" i="6"/>
  <c r="K22" i="6"/>
  <c r="L22" i="6" s="1"/>
  <c r="M21" i="6"/>
  <c r="K21" i="6"/>
  <c r="M20" i="6"/>
  <c r="K20" i="6"/>
  <c r="M19" i="6"/>
  <c r="K19" i="6"/>
  <c r="M18" i="6"/>
  <c r="L18" i="6"/>
  <c r="K18" i="6"/>
  <c r="R17" i="6"/>
  <c r="M17" i="6"/>
  <c r="L17" i="6"/>
  <c r="K17" i="6"/>
  <c r="M16" i="6"/>
  <c r="K16" i="6"/>
  <c r="M15" i="6"/>
  <c r="K15" i="6"/>
  <c r="M14" i="6"/>
  <c r="K14" i="6"/>
  <c r="M13" i="6"/>
  <c r="L13" i="6"/>
  <c r="K13" i="6"/>
  <c r="R12" i="6"/>
  <c r="M12" i="6"/>
  <c r="L12" i="6"/>
  <c r="K12" i="6"/>
  <c r="M11" i="6"/>
  <c r="K11" i="6"/>
  <c r="M10" i="6"/>
  <c r="K10" i="6"/>
  <c r="L10" i="6" s="1"/>
  <c r="M9" i="6"/>
  <c r="K9" i="6"/>
  <c r="M8" i="6"/>
  <c r="K8" i="6"/>
  <c r="R7" i="6"/>
  <c r="M7" i="6"/>
  <c r="K7" i="6"/>
  <c r="M6" i="6"/>
  <c r="L6" i="6"/>
  <c r="K6" i="6"/>
  <c r="M5" i="6"/>
  <c r="K5" i="6"/>
  <c r="L5" i="6" s="1"/>
  <c r="M4" i="6"/>
  <c r="K4" i="6"/>
  <c r="L4" i="6" s="1"/>
  <c r="M3" i="6"/>
  <c r="K3" i="6"/>
  <c r="Q2" i="6"/>
  <c r="L351" i="6" s="1"/>
  <c r="M2" i="6"/>
  <c r="K2" i="6"/>
  <c r="R2" i="6" s="1"/>
  <c r="S2" i="6" s="1"/>
  <c r="M2" i="4"/>
  <c r="M10" i="4"/>
  <c r="R22" i="4"/>
  <c r="R17" i="4"/>
  <c r="R28" i="4"/>
  <c r="R33" i="4"/>
  <c r="R32" i="4"/>
  <c r="R27" i="4"/>
  <c r="R12" i="4"/>
  <c r="R7" i="4"/>
  <c r="M3" i="4"/>
  <c r="M4" i="4"/>
  <c r="M5" i="4"/>
  <c r="M6" i="4"/>
  <c r="M7" i="4"/>
  <c r="M8" i="4"/>
  <c r="M9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Q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L3" i="7" l="1"/>
  <c r="L7" i="7"/>
  <c r="L13" i="7"/>
  <c r="L19" i="7"/>
  <c r="L23" i="7"/>
  <c r="L29" i="7"/>
  <c r="L31" i="7"/>
  <c r="L35" i="7"/>
  <c r="L43" i="7"/>
  <c r="L66" i="7"/>
  <c r="L98" i="7"/>
  <c r="L146" i="7"/>
  <c r="L351" i="7"/>
  <c r="L349" i="7"/>
  <c r="L347" i="7"/>
  <c r="L345" i="7"/>
  <c r="L343" i="7"/>
  <c r="L341" i="7"/>
  <c r="L339" i="7"/>
  <c r="L337" i="7"/>
  <c r="L335" i="7"/>
  <c r="L333" i="7"/>
  <c r="L331" i="7"/>
  <c r="L329" i="7"/>
  <c r="L327" i="7"/>
  <c r="L325" i="7"/>
  <c r="L323" i="7"/>
  <c r="L321" i="7"/>
  <c r="L319" i="7"/>
  <c r="L317" i="7"/>
  <c r="L315" i="7"/>
  <c r="L313" i="7"/>
  <c r="L311" i="7"/>
  <c r="L309" i="7"/>
  <c r="L307" i="7"/>
  <c r="L305" i="7"/>
  <c r="L303" i="7"/>
  <c r="L301" i="7"/>
  <c r="L299" i="7"/>
  <c r="L297" i="7"/>
  <c r="L295" i="7"/>
  <c r="L293" i="7"/>
  <c r="L291" i="7"/>
  <c r="L289" i="7"/>
  <c r="L287" i="7"/>
  <c r="L285" i="7"/>
  <c r="L283" i="7"/>
  <c r="L281" i="7"/>
  <c r="L279" i="7"/>
  <c r="L277" i="7"/>
  <c r="L275" i="7"/>
  <c r="L273" i="7"/>
  <c r="L271" i="7"/>
  <c r="L269" i="7"/>
  <c r="L267" i="7"/>
  <c r="L265" i="7"/>
  <c r="L263" i="7"/>
  <c r="L261" i="7"/>
  <c r="L259" i="7"/>
  <c r="L257" i="7"/>
  <c r="L255" i="7"/>
  <c r="L253" i="7"/>
  <c r="L251" i="7"/>
  <c r="L249" i="7"/>
  <c r="L247" i="7"/>
  <c r="L245" i="7"/>
  <c r="L243" i="7"/>
  <c r="L241" i="7"/>
  <c r="L239" i="7"/>
  <c r="L237" i="7"/>
  <c r="L235" i="7"/>
  <c r="L233" i="7"/>
  <c r="L231" i="7"/>
  <c r="L229" i="7"/>
  <c r="L227" i="7"/>
  <c r="L225" i="7"/>
  <c r="L223" i="7"/>
  <c r="L221" i="7"/>
  <c r="L219" i="7"/>
  <c r="L217" i="7"/>
  <c r="L215" i="7"/>
  <c r="L213" i="7"/>
  <c r="L211" i="7"/>
  <c r="L209" i="7"/>
  <c r="L207" i="7"/>
  <c r="L205" i="7"/>
  <c r="L203" i="7"/>
  <c r="L201" i="7"/>
  <c r="L199" i="7"/>
  <c r="L197" i="7"/>
  <c r="L195" i="7"/>
  <c r="L193" i="7"/>
  <c r="L191" i="7"/>
  <c r="L189" i="7"/>
  <c r="L187" i="7"/>
  <c r="L185" i="7"/>
  <c r="L183" i="7"/>
  <c r="L346" i="7"/>
  <c r="L338" i="7"/>
  <c r="L330" i="7"/>
  <c r="L322" i="7"/>
  <c r="L314" i="7"/>
  <c r="L306" i="7"/>
  <c r="L298" i="7"/>
  <c r="L290" i="7"/>
  <c r="L282" i="7"/>
  <c r="L274" i="7"/>
  <c r="L266" i="7"/>
  <c r="L258" i="7"/>
  <c r="L250" i="7"/>
  <c r="L242" i="7"/>
  <c r="L234" i="7"/>
  <c r="L226" i="7"/>
  <c r="L218" i="7"/>
  <c r="L210" i="7"/>
  <c r="L202" i="7"/>
  <c r="L194" i="7"/>
  <c r="L186" i="7"/>
  <c r="L181" i="7"/>
  <c r="L179" i="7"/>
  <c r="L177" i="7"/>
  <c r="L175" i="7"/>
  <c r="L173" i="7"/>
  <c r="L171" i="7"/>
  <c r="L169" i="7"/>
  <c r="L167" i="7"/>
  <c r="L165" i="7"/>
  <c r="L163" i="7"/>
  <c r="L161" i="7"/>
  <c r="L159" i="7"/>
  <c r="L157" i="7"/>
  <c r="L155" i="7"/>
  <c r="L153" i="7"/>
  <c r="L151" i="7"/>
  <c r="L149" i="7"/>
  <c r="L147" i="7"/>
  <c r="L145" i="7"/>
  <c r="L143" i="7"/>
  <c r="L141" i="7"/>
  <c r="L139" i="7"/>
  <c r="L137" i="7"/>
  <c r="L135" i="7"/>
  <c r="L133" i="7"/>
  <c r="L131" i="7"/>
  <c r="L129" i="7"/>
  <c r="L127" i="7"/>
  <c r="L125" i="7"/>
  <c r="L123" i="7"/>
  <c r="L121" i="7"/>
  <c r="L119" i="7"/>
  <c r="L117" i="7"/>
  <c r="L115" i="7"/>
  <c r="L113" i="7"/>
  <c r="L111" i="7"/>
  <c r="L109" i="7"/>
  <c r="L107" i="7"/>
  <c r="L105" i="7"/>
  <c r="L103" i="7"/>
  <c r="L101" i="7"/>
  <c r="L99" i="7"/>
  <c r="L97" i="7"/>
  <c r="L95" i="7"/>
  <c r="L93" i="7"/>
  <c r="L91" i="7"/>
  <c r="L89" i="7"/>
  <c r="L87" i="7"/>
  <c r="L85" i="7"/>
  <c r="L83" i="7"/>
  <c r="L81" i="7"/>
  <c r="L79" i="7"/>
  <c r="L77" i="7"/>
  <c r="L75" i="7"/>
  <c r="L73" i="7"/>
  <c r="L71" i="7"/>
  <c r="L69" i="7"/>
  <c r="L67" i="7"/>
  <c r="L65" i="7"/>
  <c r="L63" i="7"/>
  <c r="L61" i="7"/>
  <c r="L59" i="7"/>
  <c r="L57" i="7"/>
  <c r="L55" i="7"/>
  <c r="L348" i="7"/>
  <c r="L5" i="7"/>
  <c r="L11" i="7"/>
  <c r="L17" i="7"/>
  <c r="L21" i="7"/>
  <c r="L27" i="7"/>
  <c r="L33" i="7"/>
  <c r="L37" i="7"/>
  <c r="L41" i="7"/>
  <c r="L47" i="7"/>
  <c r="L51" i="7"/>
  <c r="L74" i="7"/>
  <c r="L82" i="7"/>
  <c r="L90" i="7"/>
  <c r="L106" i="7"/>
  <c r="L130" i="7"/>
  <c r="L198" i="7"/>
  <c r="L204" i="7"/>
  <c r="L230" i="7"/>
  <c r="L256" i="7"/>
  <c r="L288" i="7"/>
  <c r="L326" i="7"/>
  <c r="P2" i="7"/>
  <c r="Q2" i="7" s="1"/>
  <c r="L56" i="7"/>
  <c r="L64" i="7"/>
  <c r="L72" i="7"/>
  <c r="L80" i="7"/>
  <c r="L88" i="7"/>
  <c r="L96" i="7"/>
  <c r="L104" i="7"/>
  <c r="L112" i="7"/>
  <c r="L120" i="7"/>
  <c r="L128" i="7"/>
  <c r="L136" i="7"/>
  <c r="L144" i="7"/>
  <c r="L152" i="7"/>
  <c r="L160" i="7"/>
  <c r="L168" i="7"/>
  <c r="L176" i="7"/>
  <c r="L184" i="7"/>
  <c r="L190" i="7"/>
  <c r="L196" i="7"/>
  <c r="L216" i="7"/>
  <c r="L222" i="7"/>
  <c r="L228" i="7"/>
  <c r="L248" i="7"/>
  <c r="L254" i="7"/>
  <c r="L260" i="7"/>
  <c r="L280" i="7"/>
  <c r="L286" i="7"/>
  <c r="L292" i="7"/>
  <c r="L312" i="7"/>
  <c r="L318" i="7"/>
  <c r="L324" i="7"/>
  <c r="L344" i="7"/>
  <c r="L9" i="7"/>
  <c r="L15" i="7"/>
  <c r="L25" i="7"/>
  <c r="L39" i="7"/>
  <c r="L45" i="7"/>
  <c r="L49" i="7"/>
  <c r="L53" i="7"/>
  <c r="L58" i="7"/>
  <c r="L114" i="7"/>
  <c r="L122" i="7"/>
  <c r="L138" i="7"/>
  <c r="L154" i="7"/>
  <c r="L170" i="7"/>
  <c r="L178" i="7"/>
  <c r="L192" i="7"/>
  <c r="L224" i="7"/>
  <c r="L236" i="7"/>
  <c r="L262" i="7"/>
  <c r="L268" i="7"/>
  <c r="L294" i="7"/>
  <c r="L300" i="7"/>
  <c r="L320" i="7"/>
  <c r="L332" i="7"/>
  <c r="L350" i="7"/>
  <c r="L4" i="7"/>
  <c r="L6" i="7"/>
  <c r="L8" i="7"/>
  <c r="L10" i="7"/>
  <c r="L12" i="7"/>
  <c r="L14" i="7"/>
  <c r="L16" i="7"/>
  <c r="L18" i="7"/>
  <c r="L20" i="7"/>
  <c r="L22" i="7"/>
  <c r="L24" i="7"/>
  <c r="L26" i="7"/>
  <c r="L28" i="7"/>
  <c r="L30" i="7"/>
  <c r="L32" i="7"/>
  <c r="L34" i="7"/>
  <c r="L36" i="7"/>
  <c r="L38" i="7"/>
  <c r="L40" i="7"/>
  <c r="L42" i="7"/>
  <c r="L44" i="7"/>
  <c r="L46" i="7"/>
  <c r="L48" i="7"/>
  <c r="L50" i="7"/>
  <c r="L52" i="7"/>
  <c r="L54" i="7"/>
  <c r="L62" i="7"/>
  <c r="L70" i="7"/>
  <c r="L78" i="7"/>
  <c r="L86" i="7"/>
  <c r="L94" i="7"/>
  <c r="L102" i="7"/>
  <c r="L110" i="7"/>
  <c r="L118" i="7"/>
  <c r="L126" i="7"/>
  <c r="L134" i="7"/>
  <c r="L142" i="7"/>
  <c r="L150" i="7"/>
  <c r="L158" i="7"/>
  <c r="L166" i="7"/>
  <c r="L174" i="7"/>
  <c r="L182" i="7"/>
  <c r="L188" i="7"/>
  <c r="L208" i="7"/>
  <c r="L214" i="7"/>
  <c r="L220" i="7"/>
  <c r="L240" i="7"/>
  <c r="L246" i="7"/>
  <c r="L252" i="7"/>
  <c r="L272" i="7"/>
  <c r="L278" i="7"/>
  <c r="L284" i="7"/>
  <c r="L304" i="7"/>
  <c r="L310" i="7"/>
  <c r="L316" i="7"/>
  <c r="L336" i="7"/>
  <c r="L342" i="7"/>
  <c r="L27" i="6"/>
  <c r="L28" i="6"/>
  <c r="L29" i="6"/>
  <c r="L39" i="6"/>
  <c r="L55" i="6"/>
  <c r="L71" i="6"/>
  <c r="L87" i="6"/>
  <c r="L103" i="6"/>
  <c r="L119" i="6"/>
  <c r="L135" i="6"/>
  <c r="L151" i="6"/>
  <c r="L167" i="6"/>
  <c r="L183" i="6"/>
  <c r="L199" i="6"/>
  <c r="L215" i="6"/>
  <c r="L231" i="6"/>
  <c r="L247" i="6"/>
  <c r="L263" i="6"/>
  <c r="L279" i="6"/>
  <c r="L295" i="6"/>
  <c r="L311" i="6"/>
  <c r="L327" i="6"/>
  <c r="L343" i="6"/>
  <c r="L20" i="6"/>
  <c r="L43" i="6"/>
  <c r="L59" i="6"/>
  <c r="L75" i="6"/>
  <c r="L91" i="6"/>
  <c r="L107" i="6"/>
  <c r="L123" i="6"/>
  <c r="L139" i="6"/>
  <c r="L155" i="6"/>
  <c r="L171" i="6"/>
  <c r="L187" i="6"/>
  <c r="L203" i="6"/>
  <c r="L219" i="6"/>
  <c r="L235" i="6"/>
  <c r="L251" i="6"/>
  <c r="L267" i="6"/>
  <c r="L283" i="6"/>
  <c r="L299" i="6"/>
  <c r="L315" i="6"/>
  <c r="L331" i="6"/>
  <c r="L347" i="6"/>
  <c r="L2" i="6"/>
  <c r="L47" i="6"/>
  <c r="L63" i="6"/>
  <c r="L79" i="6"/>
  <c r="L95" i="6"/>
  <c r="L111" i="6"/>
  <c r="L127" i="6"/>
  <c r="L143" i="6"/>
  <c r="L159" i="6"/>
  <c r="L175" i="6"/>
  <c r="L191" i="6"/>
  <c r="L207" i="6"/>
  <c r="L223" i="6"/>
  <c r="L239" i="6"/>
  <c r="L255" i="6"/>
  <c r="L271" i="6"/>
  <c r="L287" i="6"/>
  <c r="L303" i="6"/>
  <c r="L319" i="6"/>
  <c r="L335" i="6"/>
  <c r="L350" i="6"/>
  <c r="L346" i="6"/>
  <c r="L342" i="6"/>
  <c r="L338" i="6"/>
  <c r="L334" i="6"/>
  <c r="L330" i="6"/>
  <c r="L326" i="6"/>
  <c r="L322" i="6"/>
  <c r="L318" i="6"/>
  <c r="L314" i="6"/>
  <c r="L310" i="6"/>
  <c r="L306" i="6"/>
  <c r="L302" i="6"/>
  <c r="L298" i="6"/>
  <c r="L294" i="6"/>
  <c r="L290" i="6"/>
  <c r="L286" i="6"/>
  <c r="L282" i="6"/>
  <c r="L278" i="6"/>
  <c r="L274" i="6"/>
  <c r="L270" i="6"/>
  <c r="L266" i="6"/>
  <c r="L262" i="6"/>
  <c r="L258" i="6"/>
  <c r="L254" i="6"/>
  <c r="L250" i="6"/>
  <c r="L246" i="6"/>
  <c r="L242" i="6"/>
  <c r="L238" i="6"/>
  <c r="L234" i="6"/>
  <c r="L230" i="6"/>
  <c r="L226" i="6"/>
  <c r="L222" i="6"/>
  <c r="L218" i="6"/>
  <c r="L214" i="6"/>
  <c r="L210" i="6"/>
  <c r="L206" i="6"/>
  <c r="L202" i="6"/>
  <c r="L198" i="6"/>
  <c r="L194" i="6"/>
  <c r="L190" i="6"/>
  <c r="L186" i="6"/>
  <c r="L182" i="6"/>
  <c r="L178" i="6"/>
  <c r="L174" i="6"/>
  <c r="L170" i="6"/>
  <c r="L166" i="6"/>
  <c r="L162" i="6"/>
  <c r="L158" i="6"/>
  <c r="L154" i="6"/>
  <c r="L150" i="6"/>
  <c r="L146" i="6"/>
  <c r="L142" i="6"/>
  <c r="L138" i="6"/>
  <c r="L134" i="6"/>
  <c r="L130" i="6"/>
  <c r="L126" i="6"/>
  <c r="L122" i="6"/>
  <c r="L118" i="6"/>
  <c r="L114" i="6"/>
  <c r="L110" i="6"/>
  <c r="L106" i="6"/>
  <c r="L102" i="6"/>
  <c r="L98" i="6"/>
  <c r="L94" i="6"/>
  <c r="L90" i="6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3" i="6"/>
  <c r="L32" i="6"/>
  <c r="L26" i="6"/>
  <c r="L21" i="6"/>
  <c r="L16" i="6"/>
  <c r="L348" i="6"/>
  <c r="L344" i="6"/>
  <c r="L340" i="6"/>
  <c r="L336" i="6"/>
  <c r="L332" i="6"/>
  <c r="L328" i="6"/>
  <c r="L324" i="6"/>
  <c r="L320" i="6"/>
  <c r="L316" i="6"/>
  <c r="L312" i="6"/>
  <c r="L308" i="6"/>
  <c r="L304" i="6"/>
  <c r="L300" i="6"/>
  <c r="L296" i="6"/>
  <c r="L292" i="6"/>
  <c r="L288" i="6"/>
  <c r="L284" i="6"/>
  <c r="L280" i="6"/>
  <c r="L276" i="6"/>
  <c r="L272" i="6"/>
  <c r="L268" i="6"/>
  <c r="L264" i="6"/>
  <c r="L260" i="6"/>
  <c r="L256" i="6"/>
  <c r="L252" i="6"/>
  <c r="L248" i="6"/>
  <c r="L244" i="6"/>
  <c r="L240" i="6"/>
  <c r="L236" i="6"/>
  <c r="L232" i="6"/>
  <c r="L228" i="6"/>
  <c r="L224" i="6"/>
  <c r="L220" i="6"/>
  <c r="L216" i="6"/>
  <c r="L212" i="6"/>
  <c r="L208" i="6"/>
  <c r="L204" i="6"/>
  <c r="L200" i="6"/>
  <c r="L196" i="6"/>
  <c r="L192" i="6"/>
  <c r="L188" i="6"/>
  <c r="L184" i="6"/>
  <c r="L180" i="6"/>
  <c r="L176" i="6"/>
  <c r="L172" i="6"/>
  <c r="L168" i="6"/>
  <c r="L164" i="6"/>
  <c r="L160" i="6"/>
  <c r="L156" i="6"/>
  <c r="L152" i="6"/>
  <c r="L148" i="6"/>
  <c r="L144" i="6"/>
  <c r="L140" i="6"/>
  <c r="L136" i="6"/>
  <c r="L132" i="6"/>
  <c r="L128" i="6"/>
  <c r="L124" i="6"/>
  <c r="L120" i="6"/>
  <c r="L116" i="6"/>
  <c r="L112" i="6"/>
  <c r="L108" i="6"/>
  <c r="L104" i="6"/>
  <c r="L100" i="6"/>
  <c r="L96" i="6"/>
  <c r="L92" i="6"/>
  <c r="L88" i="6"/>
  <c r="L84" i="6"/>
  <c r="L80" i="6"/>
  <c r="L76" i="6"/>
  <c r="L72" i="6"/>
  <c r="L68" i="6"/>
  <c r="L64" i="6"/>
  <c r="L60" i="6"/>
  <c r="L56" i="6"/>
  <c r="L52" i="6"/>
  <c r="L48" i="6"/>
  <c r="L44" i="6"/>
  <c r="L40" i="6"/>
  <c r="L36" i="6"/>
  <c r="L30" i="6"/>
  <c r="L24" i="6"/>
  <c r="L19" i="6"/>
  <c r="L14" i="6"/>
  <c r="L9" i="6"/>
  <c r="L349" i="6"/>
  <c r="L345" i="6"/>
  <c r="L341" i="6"/>
  <c r="L337" i="6"/>
  <c r="L333" i="6"/>
  <c r="L329" i="6"/>
  <c r="L325" i="6"/>
  <c r="L321" i="6"/>
  <c r="L317" i="6"/>
  <c r="L313" i="6"/>
  <c r="L309" i="6"/>
  <c r="L305" i="6"/>
  <c r="L301" i="6"/>
  <c r="L297" i="6"/>
  <c r="L293" i="6"/>
  <c r="L289" i="6"/>
  <c r="L285" i="6"/>
  <c r="L281" i="6"/>
  <c r="L277" i="6"/>
  <c r="L273" i="6"/>
  <c r="L269" i="6"/>
  <c r="L265" i="6"/>
  <c r="L261" i="6"/>
  <c r="L257" i="6"/>
  <c r="L253" i="6"/>
  <c r="L249" i="6"/>
  <c r="L245" i="6"/>
  <c r="L241" i="6"/>
  <c r="L237" i="6"/>
  <c r="L233" i="6"/>
  <c r="L229" i="6"/>
  <c r="L225" i="6"/>
  <c r="L221" i="6"/>
  <c r="L217" i="6"/>
  <c r="L213" i="6"/>
  <c r="L209" i="6"/>
  <c r="L205" i="6"/>
  <c r="L201" i="6"/>
  <c r="L197" i="6"/>
  <c r="L193" i="6"/>
  <c r="L189" i="6"/>
  <c r="L185" i="6"/>
  <c r="L181" i="6"/>
  <c r="L177" i="6"/>
  <c r="L173" i="6"/>
  <c r="L169" i="6"/>
  <c r="L165" i="6"/>
  <c r="L161" i="6"/>
  <c r="L157" i="6"/>
  <c r="L153" i="6"/>
  <c r="L149" i="6"/>
  <c r="L145" i="6"/>
  <c r="L141" i="6"/>
  <c r="L137" i="6"/>
  <c r="L133" i="6"/>
  <c r="L129" i="6"/>
  <c r="L125" i="6"/>
  <c r="L121" i="6"/>
  <c r="L117" i="6"/>
  <c r="L113" i="6"/>
  <c r="L109" i="6"/>
  <c r="L105" i="6"/>
  <c r="L101" i="6"/>
  <c r="L97" i="6"/>
  <c r="L93" i="6"/>
  <c r="L89" i="6"/>
  <c r="L85" i="6"/>
  <c r="L81" i="6"/>
  <c r="L77" i="6"/>
  <c r="L73" i="6"/>
  <c r="L69" i="6"/>
  <c r="L65" i="6"/>
  <c r="L61" i="6"/>
  <c r="L57" i="6"/>
  <c r="L53" i="6"/>
  <c r="L49" i="6"/>
  <c r="L45" i="6"/>
  <c r="L41" i="6"/>
  <c r="L37" i="6"/>
  <c r="L31" i="6"/>
  <c r="L3" i="6"/>
  <c r="L7" i="6"/>
  <c r="L8" i="6"/>
  <c r="L11" i="6"/>
  <c r="L15" i="6"/>
  <c r="L25" i="6"/>
  <c r="L35" i="6"/>
  <c r="L51" i="6"/>
  <c r="L67" i="6"/>
  <c r="L83" i="6"/>
  <c r="L99" i="6"/>
  <c r="L115" i="6"/>
  <c r="L131" i="6"/>
  <c r="L147" i="6"/>
  <c r="L163" i="6"/>
  <c r="L179" i="6"/>
  <c r="L195" i="6"/>
  <c r="L211" i="6"/>
  <c r="L227" i="6"/>
  <c r="L243" i="6"/>
  <c r="L259" i="6"/>
  <c r="L275" i="6"/>
  <c r="L291" i="6"/>
  <c r="L307" i="6"/>
  <c r="L323" i="6"/>
  <c r="L339" i="6"/>
  <c r="L3" i="4"/>
  <c r="L11" i="4"/>
  <c r="L196" i="4"/>
  <c r="L2" i="4"/>
  <c r="L13" i="4"/>
  <c r="L21" i="4"/>
  <c r="L29" i="4"/>
  <c r="L37" i="4"/>
  <c r="L228" i="4"/>
  <c r="L236" i="4"/>
  <c r="L51" i="4"/>
  <c r="L43" i="4"/>
  <c r="L19" i="4"/>
  <c r="L27" i="4"/>
  <c r="L188" i="4"/>
  <c r="L5" i="4"/>
  <c r="L35" i="4"/>
  <c r="L45" i="4"/>
  <c r="L53" i="4"/>
  <c r="L220" i="4"/>
  <c r="L9" i="4"/>
  <c r="L25" i="4"/>
  <c r="L41" i="4"/>
  <c r="L204" i="4"/>
  <c r="L351" i="4"/>
  <c r="L349" i="4"/>
  <c r="L347" i="4"/>
  <c r="L345" i="4"/>
  <c r="L343" i="4"/>
  <c r="L341" i="4"/>
  <c r="L339" i="4"/>
  <c r="L337" i="4"/>
  <c r="L335" i="4"/>
  <c r="L333" i="4"/>
  <c r="L331" i="4"/>
  <c r="L329" i="4"/>
  <c r="L327" i="4"/>
  <c r="L325" i="4"/>
  <c r="L323" i="4"/>
  <c r="L321" i="4"/>
  <c r="L319" i="4"/>
  <c r="L317" i="4"/>
  <c r="L315" i="4"/>
  <c r="L313" i="4"/>
  <c r="L311" i="4"/>
  <c r="L309" i="4"/>
  <c r="L307" i="4"/>
  <c r="L305" i="4"/>
  <c r="L303" i="4"/>
  <c r="L301" i="4"/>
  <c r="L299" i="4"/>
  <c r="L297" i="4"/>
  <c r="L295" i="4"/>
  <c r="L293" i="4"/>
  <c r="L291" i="4"/>
  <c r="L289" i="4"/>
  <c r="L287" i="4"/>
  <c r="L285" i="4"/>
  <c r="L283" i="4"/>
  <c r="L281" i="4"/>
  <c r="L279" i="4"/>
  <c r="L277" i="4"/>
  <c r="L275" i="4"/>
  <c r="L273" i="4"/>
  <c r="L271" i="4"/>
  <c r="L269" i="4"/>
  <c r="L267" i="4"/>
  <c r="L265" i="4"/>
  <c r="L263" i="4"/>
  <c r="L261" i="4"/>
  <c r="L259" i="4"/>
  <c r="L257" i="4"/>
  <c r="L255" i="4"/>
  <c r="L253" i="4"/>
  <c r="L251" i="4"/>
  <c r="L249" i="4"/>
  <c r="L247" i="4"/>
  <c r="L245" i="4"/>
  <c r="L243" i="4"/>
  <c r="L241" i="4"/>
  <c r="L239" i="4"/>
  <c r="L237" i="4"/>
  <c r="L235" i="4"/>
  <c r="L233" i="4"/>
  <c r="L231" i="4"/>
  <c r="L229" i="4"/>
  <c r="L227" i="4"/>
  <c r="L225" i="4"/>
  <c r="L223" i="4"/>
  <c r="L221" i="4"/>
  <c r="L219" i="4"/>
  <c r="L217" i="4"/>
  <c r="L215" i="4"/>
  <c r="L213" i="4"/>
  <c r="L211" i="4"/>
  <c r="L209" i="4"/>
  <c r="L207" i="4"/>
  <c r="L205" i="4"/>
  <c r="L203" i="4"/>
  <c r="L201" i="4"/>
  <c r="L199" i="4"/>
  <c r="L197" i="4"/>
  <c r="L195" i="4"/>
  <c r="L193" i="4"/>
  <c r="L191" i="4"/>
  <c r="L189" i="4"/>
  <c r="L187" i="4"/>
  <c r="L185" i="4"/>
  <c r="L183" i="4"/>
  <c r="L350" i="4"/>
  <c r="L348" i="4"/>
  <c r="L340" i="4"/>
  <c r="L332" i="4"/>
  <c r="L324" i="4"/>
  <c r="L316" i="4"/>
  <c r="L308" i="4"/>
  <c r="L300" i="4"/>
  <c r="L292" i="4"/>
  <c r="L284" i="4"/>
  <c r="L276" i="4"/>
  <c r="L268" i="4"/>
  <c r="L260" i="4"/>
  <c r="L252" i="4"/>
  <c r="L342" i="4"/>
  <c r="L334" i="4"/>
  <c r="L326" i="4"/>
  <c r="L318" i="4"/>
  <c r="L310" i="4"/>
  <c r="L302" i="4"/>
  <c r="L294" i="4"/>
  <c r="L286" i="4"/>
  <c r="L278" i="4"/>
  <c r="L270" i="4"/>
  <c r="L262" i="4"/>
  <c r="L254" i="4"/>
  <c r="L246" i="4"/>
  <c r="L238" i="4"/>
  <c r="L230" i="4"/>
  <c r="L222" i="4"/>
  <c r="L214" i="4"/>
  <c r="L206" i="4"/>
  <c r="L198" i="4"/>
  <c r="L190" i="4"/>
  <c r="L182" i="4"/>
  <c r="L180" i="4"/>
  <c r="L178" i="4"/>
  <c r="L176" i="4"/>
  <c r="L174" i="4"/>
  <c r="L172" i="4"/>
  <c r="L170" i="4"/>
  <c r="L168" i="4"/>
  <c r="L166" i="4"/>
  <c r="L164" i="4"/>
  <c r="L162" i="4"/>
  <c r="L160" i="4"/>
  <c r="L158" i="4"/>
  <c r="L156" i="4"/>
  <c r="L154" i="4"/>
  <c r="L152" i="4"/>
  <c r="L150" i="4"/>
  <c r="L148" i="4"/>
  <c r="L146" i="4"/>
  <c r="L144" i="4"/>
  <c r="L142" i="4"/>
  <c r="L140" i="4"/>
  <c r="L138" i="4"/>
  <c r="L136" i="4"/>
  <c r="L134" i="4"/>
  <c r="L132" i="4"/>
  <c r="L130" i="4"/>
  <c r="L128" i="4"/>
  <c r="L126" i="4"/>
  <c r="L124" i="4"/>
  <c r="L122" i="4"/>
  <c r="L120" i="4"/>
  <c r="L118" i="4"/>
  <c r="L116" i="4"/>
  <c r="L114" i="4"/>
  <c r="L112" i="4"/>
  <c r="L110" i="4"/>
  <c r="L108" i="4"/>
  <c r="L106" i="4"/>
  <c r="L104" i="4"/>
  <c r="L102" i="4"/>
  <c r="L100" i="4"/>
  <c r="L98" i="4"/>
  <c r="L96" i="4"/>
  <c r="L94" i="4"/>
  <c r="L92" i="4"/>
  <c r="L90" i="4"/>
  <c r="L88" i="4"/>
  <c r="L86" i="4"/>
  <c r="L84" i="4"/>
  <c r="L82" i="4"/>
  <c r="L80" i="4"/>
  <c r="L78" i="4"/>
  <c r="L76" i="4"/>
  <c r="L74" i="4"/>
  <c r="L72" i="4"/>
  <c r="L70" i="4"/>
  <c r="L68" i="4"/>
  <c r="L66" i="4"/>
  <c r="L64" i="4"/>
  <c r="L62" i="4"/>
  <c r="L60" i="4"/>
  <c r="L58" i="4"/>
  <c r="L56" i="4"/>
  <c r="L54" i="4"/>
  <c r="L52" i="4"/>
  <c r="L50" i="4"/>
  <c r="L48" i="4"/>
  <c r="L46" i="4"/>
  <c r="L44" i="4"/>
  <c r="L42" i="4"/>
  <c r="L40" i="4"/>
  <c r="L38" i="4"/>
  <c r="L36" i="4"/>
  <c r="L34" i="4"/>
  <c r="L32" i="4"/>
  <c r="L30" i="4"/>
  <c r="L28" i="4"/>
  <c r="L26" i="4"/>
  <c r="L24" i="4"/>
  <c r="L22" i="4"/>
  <c r="L20" i="4"/>
  <c r="L18" i="4"/>
  <c r="L16" i="4"/>
  <c r="L14" i="4"/>
  <c r="L12" i="4"/>
  <c r="L10" i="4"/>
  <c r="L8" i="4"/>
  <c r="L6" i="4"/>
  <c r="L4" i="4"/>
  <c r="L344" i="4"/>
  <c r="L336" i="4"/>
  <c r="L328" i="4"/>
  <c r="L320" i="4"/>
  <c r="L312" i="4"/>
  <c r="L304" i="4"/>
  <c r="L296" i="4"/>
  <c r="L288" i="4"/>
  <c r="L280" i="4"/>
  <c r="L272" i="4"/>
  <c r="L264" i="4"/>
  <c r="L256" i="4"/>
  <c r="L248" i="4"/>
  <c r="L240" i="4"/>
  <c r="L232" i="4"/>
  <c r="L224" i="4"/>
  <c r="L216" i="4"/>
  <c r="L208" i="4"/>
  <c r="L200" i="4"/>
  <c r="L192" i="4"/>
  <c r="L184" i="4"/>
  <c r="L346" i="4"/>
  <c r="L338" i="4"/>
  <c r="L330" i="4"/>
  <c r="L322" i="4"/>
  <c r="L314" i="4"/>
  <c r="L306" i="4"/>
  <c r="L298" i="4"/>
  <c r="L290" i="4"/>
  <c r="L282" i="4"/>
  <c r="L274" i="4"/>
  <c r="L266" i="4"/>
  <c r="L258" i="4"/>
  <c r="L250" i="4"/>
  <c r="L242" i="4"/>
  <c r="L234" i="4"/>
  <c r="L226" i="4"/>
  <c r="L218" i="4"/>
  <c r="L210" i="4"/>
  <c r="L202" i="4"/>
  <c r="L194" i="4"/>
  <c r="L186" i="4"/>
  <c r="L181" i="4"/>
  <c r="L179" i="4"/>
  <c r="L177" i="4"/>
  <c r="L175" i="4"/>
  <c r="L173" i="4"/>
  <c r="L171" i="4"/>
  <c r="L169" i="4"/>
  <c r="L167" i="4"/>
  <c r="L165" i="4"/>
  <c r="L163" i="4"/>
  <c r="L161" i="4"/>
  <c r="L159" i="4"/>
  <c r="L157" i="4"/>
  <c r="L155" i="4"/>
  <c r="L153" i="4"/>
  <c r="L151" i="4"/>
  <c r="L149" i="4"/>
  <c r="L147" i="4"/>
  <c r="L145" i="4"/>
  <c r="L143" i="4"/>
  <c r="L141" i="4"/>
  <c r="L139" i="4"/>
  <c r="L137" i="4"/>
  <c r="L135" i="4"/>
  <c r="L133" i="4"/>
  <c r="L131" i="4"/>
  <c r="L129" i="4"/>
  <c r="L127" i="4"/>
  <c r="L125" i="4"/>
  <c r="L123" i="4"/>
  <c r="L121" i="4"/>
  <c r="L119" i="4"/>
  <c r="L117" i="4"/>
  <c r="L115" i="4"/>
  <c r="L113" i="4"/>
  <c r="L111" i="4"/>
  <c r="L109" i="4"/>
  <c r="L107" i="4"/>
  <c r="L105" i="4"/>
  <c r="L103" i="4"/>
  <c r="L101" i="4"/>
  <c r="L99" i="4"/>
  <c r="L97" i="4"/>
  <c r="L95" i="4"/>
  <c r="L93" i="4"/>
  <c r="L91" i="4"/>
  <c r="L89" i="4"/>
  <c r="L87" i="4"/>
  <c r="L85" i="4"/>
  <c r="L83" i="4"/>
  <c r="L81" i="4"/>
  <c r="L79" i="4"/>
  <c r="L77" i="4"/>
  <c r="L75" i="4"/>
  <c r="L73" i="4"/>
  <c r="L71" i="4"/>
  <c r="L69" i="4"/>
  <c r="L67" i="4"/>
  <c r="L65" i="4"/>
  <c r="L63" i="4"/>
  <c r="L61" i="4"/>
  <c r="L59" i="4"/>
  <c r="L57" i="4"/>
  <c r="L55" i="4"/>
  <c r="L17" i="4"/>
  <c r="L33" i="4"/>
  <c r="L49" i="4"/>
  <c r="R2" i="4"/>
  <c r="S2" i="4" s="1"/>
  <c r="L7" i="4"/>
  <c r="L15" i="4"/>
  <c r="L23" i="4"/>
  <c r="L31" i="4"/>
  <c r="L39" i="4"/>
  <c r="L47" i="4"/>
  <c r="L212" i="4"/>
  <c r="L244" i="4"/>
  <c r="L16" i="1"/>
  <c r="L14" i="1"/>
  <c r="L8" i="1"/>
  <c r="L2" i="1"/>
  <c r="L3" i="1"/>
  <c r="L4" i="1"/>
  <c r="L5" i="1"/>
  <c r="L6" i="1"/>
  <c r="L7" i="1"/>
  <c r="L9" i="1"/>
  <c r="L10" i="1"/>
  <c r="L11" i="1"/>
  <c r="L12" i="1"/>
  <c r="L13" i="1"/>
  <c r="L15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Q2" i="1"/>
  <c r="P2" i="1"/>
  <c r="O2" i="1"/>
  <c r="H35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5DBD2-9D48-4742-8C61-20650A5DFA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88F965-C20F-469A-B2AF-4D286EEC39EE}" name="WorksheetConnection_AeroLink_Airlines_Flight_Performance_Analysis clean data2.xlsx!Table242" type="102" refreshedVersion="8" minRefreshableVersion="5">
    <extLst>
      <ext xmlns:x15="http://schemas.microsoft.com/office/spreadsheetml/2010/11/main" uri="{DE250136-89BD-433C-8126-D09CA5730AF9}">
        <x15:connection id="Table242" autoDelete="1">
          <x15:rangePr sourceName="_xlcn.WorksheetConnection_AeroLink_Airlines_Flight_Performance_Analysiscleandata2.xlsxTable2421"/>
        </x15:connection>
      </ext>
    </extLst>
  </connection>
</connections>
</file>

<file path=xl/sharedStrings.xml><?xml version="1.0" encoding="utf-8"?>
<sst xmlns="http://schemas.openxmlformats.org/spreadsheetml/2006/main" count="8597" uniqueCount="645">
  <si>
    <t>Class</t>
  </si>
  <si>
    <t>FL001</t>
  </si>
  <si>
    <t>FL002</t>
  </si>
  <si>
    <t>FL004</t>
  </si>
  <si>
    <t>FL005</t>
  </si>
  <si>
    <t>FL006</t>
  </si>
  <si>
    <t>FL007</t>
  </si>
  <si>
    <t>FL009</t>
  </si>
  <si>
    <t>FL010</t>
  </si>
  <si>
    <t>FL011</t>
  </si>
  <si>
    <t>FL012</t>
  </si>
  <si>
    <t>FL013</t>
  </si>
  <si>
    <t>FL014</t>
  </si>
  <si>
    <t>FL015</t>
  </si>
  <si>
    <t>FL017</t>
  </si>
  <si>
    <t>FL018</t>
  </si>
  <si>
    <t>FL019</t>
  </si>
  <si>
    <t>FL020</t>
  </si>
  <si>
    <t>FL021</t>
  </si>
  <si>
    <t>FL022</t>
  </si>
  <si>
    <t>FL023</t>
  </si>
  <si>
    <t>FL024</t>
  </si>
  <si>
    <t>FL025</t>
  </si>
  <si>
    <t>FL026</t>
  </si>
  <si>
    <t>FL027</t>
  </si>
  <si>
    <t>FL028</t>
  </si>
  <si>
    <t>FL029</t>
  </si>
  <si>
    <t>FL030</t>
  </si>
  <si>
    <t>FL031</t>
  </si>
  <si>
    <t>FL032</t>
  </si>
  <si>
    <t>FL033</t>
  </si>
  <si>
    <t>FL034</t>
  </si>
  <si>
    <t>FL035</t>
  </si>
  <si>
    <t>FL036</t>
  </si>
  <si>
    <t>FL037</t>
  </si>
  <si>
    <t>FL038</t>
  </si>
  <si>
    <t>FL039</t>
  </si>
  <si>
    <t>FL040</t>
  </si>
  <si>
    <t>FL041</t>
  </si>
  <si>
    <t>FL042</t>
  </si>
  <si>
    <t>FL043</t>
  </si>
  <si>
    <t>FL044</t>
  </si>
  <si>
    <t>FL045</t>
  </si>
  <si>
    <t>FL046</t>
  </si>
  <si>
    <t>FL047</t>
  </si>
  <si>
    <t>FL048</t>
  </si>
  <si>
    <t>FL049</t>
  </si>
  <si>
    <t>FL050</t>
  </si>
  <si>
    <t>FL051</t>
  </si>
  <si>
    <t>FL052</t>
  </si>
  <si>
    <t>FL053</t>
  </si>
  <si>
    <t>FL054</t>
  </si>
  <si>
    <t>FL055</t>
  </si>
  <si>
    <t>FL056</t>
  </si>
  <si>
    <t>FL057</t>
  </si>
  <si>
    <t>FL058</t>
  </si>
  <si>
    <t>FL059</t>
  </si>
  <si>
    <t>FL060</t>
  </si>
  <si>
    <t>FL061</t>
  </si>
  <si>
    <t>FL062</t>
  </si>
  <si>
    <t>FL063</t>
  </si>
  <si>
    <t>FL064</t>
  </si>
  <si>
    <t>FL065</t>
  </si>
  <si>
    <t>FL066</t>
  </si>
  <si>
    <t>FL067</t>
  </si>
  <si>
    <t>FL068</t>
  </si>
  <si>
    <t>FL069</t>
  </si>
  <si>
    <t>FL070</t>
  </si>
  <si>
    <t>FL071</t>
  </si>
  <si>
    <t>FL072</t>
  </si>
  <si>
    <t>FL073</t>
  </si>
  <si>
    <t>FL074</t>
  </si>
  <si>
    <t>FL075</t>
  </si>
  <si>
    <t>FL076</t>
  </si>
  <si>
    <t>FL077</t>
  </si>
  <si>
    <t>FL078</t>
  </si>
  <si>
    <t>FL079</t>
  </si>
  <si>
    <t>FL080</t>
  </si>
  <si>
    <t>FL081</t>
  </si>
  <si>
    <t>FL082</t>
  </si>
  <si>
    <t>FL083</t>
  </si>
  <si>
    <t>FL084</t>
  </si>
  <si>
    <t>FL085</t>
  </si>
  <si>
    <t>FL086</t>
  </si>
  <si>
    <t>FL087</t>
  </si>
  <si>
    <t>FL088</t>
  </si>
  <si>
    <t>FL089</t>
  </si>
  <si>
    <t>FL091</t>
  </si>
  <si>
    <t>FL092</t>
  </si>
  <si>
    <t>FL093</t>
  </si>
  <si>
    <t>FL094</t>
  </si>
  <si>
    <t>FL095</t>
  </si>
  <si>
    <t>FL096</t>
  </si>
  <si>
    <t>FL097</t>
  </si>
  <si>
    <t>FL098</t>
  </si>
  <si>
    <t>FL099</t>
  </si>
  <si>
    <t>FL100</t>
  </si>
  <si>
    <t>FL101</t>
  </si>
  <si>
    <t>FL102</t>
  </si>
  <si>
    <t>FL103</t>
  </si>
  <si>
    <t>FL104</t>
  </si>
  <si>
    <t>FL105</t>
  </si>
  <si>
    <t>FL106</t>
  </si>
  <si>
    <t>FL107</t>
  </si>
  <si>
    <t>FL108</t>
  </si>
  <si>
    <t>FL109</t>
  </si>
  <si>
    <t>FL110</t>
  </si>
  <si>
    <t>FL111</t>
  </si>
  <si>
    <t>FL112</t>
  </si>
  <si>
    <t>FL113</t>
  </si>
  <si>
    <t>FL114</t>
  </si>
  <si>
    <t>FL115</t>
  </si>
  <si>
    <t>FL116</t>
  </si>
  <si>
    <t>FL117</t>
  </si>
  <si>
    <t>FL118</t>
  </si>
  <si>
    <t>FL119</t>
  </si>
  <si>
    <t>FL120</t>
  </si>
  <si>
    <t>FL121</t>
  </si>
  <si>
    <t>FL122</t>
  </si>
  <si>
    <t>FL123</t>
  </si>
  <si>
    <t>FL124</t>
  </si>
  <si>
    <t>FL125</t>
  </si>
  <si>
    <t>FL126</t>
  </si>
  <si>
    <t>FL127</t>
  </si>
  <si>
    <t>FL128</t>
  </si>
  <si>
    <t>FL129</t>
  </si>
  <si>
    <t>FL130</t>
  </si>
  <si>
    <t>FL131</t>
  </si>
  <si>
    <t>FL132</t>
  </si>
  <si>
    <t>FL133</t>
  </si>
  <si>
    <t>FL134</t>
  </si>
  <si>
    <t>FL135</t>
  </si>
  <si>
    <t>FL136</t>
  </si>
  <si>
    <t>FL137</t>
  </si>
  <si>
    <t>FL138</t>
  </si>
  <si>
    <t>FL139</t>
  </si>
  <si>
    <t>FL140</t>
  </si>
  <si>
    <t>FL141</t>
  </si>
  <si>
    <t>FL142</t>
  </si>
  <si>
    <t>FL143</t>
  </si>
  <si>
    <t>FL144</t>
  </si>
  <si>
    <t>FL145</t>
  </si>
  <si>
    <t>FL146</t>
  </si>
  <si>
    <t>FL147</t>
  </si>
  <si>
    <t>FL148</t>
  </si>
  <si>
    <t>FL149</t>
  </si>
  <si>
    <t>FL150</t>
  </si>
  <si>
    <t>FL151</t>
  </si>
  <si>
    <t>FL152</t>
  </si>
  <si>
    <t>FL153</t>
  </si>
  <si>
    <t>FL154</t>
  </si>
  <si>
    <t>FL155</t>
  </si>
  <si>
    <t>FL156</t>
  </si>
  <si>
    <t>FL157</t>
  </si>
  <si>
    <t>FL158</t>
  </si>
  <si>
    <t>FL159</t>
  </si>
  <si>
    <t>FL160</t>
  </si>
  <si>
    <t>FL161</t>
  </si>
  <si>
    <t>FL162</t>
  </si>
  <si>
    <t>FL163</t>
  </si>
  <si>
    <t>FL164</t>
  </si>
  <si>
    <t>FL165</t>
  </si>
  <si>
    <t>FL166</t>
  </si>
  <si>
    <t>FL167</t>
  </si>
  <si>
    <t>FL168</t>
  </si>
  <si>
    <t>FL169</t>
  </si>
  <si>
    <t>FL170</t>
  </si>
  <si>
    <t>FL171</t>
  </si>
  <si>
    <t>FL172</t>
  </si>
  <si>
    <t>FL173</t>
  </si>
  <si>
    <t>FL174</t>
  </si>
  <si>
    <t>FL175</t>
  </si>
  <si>
    <t>FL176</t>
  </si>
  <si>
    <t>FL177</t>
  </si>
  <si>
    <t>FL178</t>
  </si>
  <si>
    <t>FL179</t>
  </si>
  <si>
    <t>FL180</t>
  </si>
  <si>
    <t>FL181</t>
  </si>
  <si>
    <t>FL182</t>
  </si>
  <si>
    <t>FL183</t>
  </si>
  <si>
    <t>FL184</t>
  </si>
  <si>
    <t>FL185</t>
  </si>
  <si>
    <t>FL186</t>
  </si>
  <si>
    <t>FL187</t>
  </si>
  <si>
    <t>FL188</t>
  </si>
  <si>
    <t>FL189</t>
  </si>
  <si>
    <t>FL190</t>
  </si>
  <si>
    <t>FL191</t>
  </si>
  <si>
    <t>FL192</t>
  </si>
  <si>
    <t>FL193</t>
  </si>
  <si>
    <t>FL194</t>
  </si>
  <si>
    <t>FL195</t>
  </si>
  <si>
    <t>FL196</t>
  </si>
  <si>
    <t>FL197</t>
  </si>
  <si>
    <t>FL198</t>
  </si>
  <si>
    <t>FL199</t>
  </si>
  <si>
    <t>FL200</t>
  </si>
  <si>
    <t>FL201</t>
  </si>
  <si>
    <t>FL202</t>
  </si>
  <si>
    <t>FL203</t>
  </si>
  <si>
    <t>FL204</t>
  </si>
  <si>
    <t>FL205</t>
  </si>
  <si>
    <t>FL206</t>
  </si>
  <si>
    <t>FL207</t>
  </si>
  <si>
    <t>FL208</t>
  </si>
  <si>
    <t>FL209</t>
  </si>
  <si>
    <t>FL210</t>
  </si>
  <si>
    <t>FL211</t>
  </si>
  <si>
    <t>FL212</t>
  </si>
  <si>
    <t>FL213</t>
  </si>
  <si>
    <t>FL214</t>
  </si>
  <si>
    <t>FL215</t>
  </si>
  <si>
    <t>FL216</t>
  </si>
  <si>
    <t>FL217</t>
  </si>
  <si>
    <t>FL218</t>
  </si>
  <si>
    <t>FL219</t>
  </si>
  <si>
    <t>FL220</t>
  </si>
  <si>
    <t>FL221</t>
  </si>
  <si>
    <t>FL222</t>
  </si>
  <si>
    <t>FL223</t>
  </si>
  <si>
    <t>FL224</t>
  </si>
  <si>
    <t>FL225</t>
  </si>
  <si>
    <t>FL226</t>
  </si>
  <si>
    <t>FL227</t>
  </si>
  <si>
    <t>FL228</t>
  </si>
  <si>
    <t>FL229</t>
  </si>
  <si>
    <t>FL230</t>
  </si>
  <si>
    <t>FL231</t>
  </si>
  <si>
    <t>FL232</t>
  </si>
  <si>
    <t>FL233</t>
  </si>
  <si>
    <t>FL234</t>
  </si>
  <si>
    <t>FL235</t>
  </si>
  <si>
    <t>FL236</t>
  </si>
  <si>
    <t>FL237</t>
  </si>
  <si>
    <t>FL238</t>
  </si>
  <si>
    <t>FL239</t>
  </si>
  <si>
    <t>FL240</t>
  </si>
  <si>
    <t>FL241</t>
  </si>
  <si>
    <t>FL242</t>
  </si>
  <si>
    <t>FL243</t>
  </si>
  <si>
    <t>FL244</t>
  </si>
  <si>
    <t>FL245</t>
  </si>
  <si>
    <t>FL246</t>
  </si>
  <si>
    <t>FL247</t>
  </si>
  <si>
    <t>FL248</t>
  </si>
  <si>
    <t>FL249</t>
  </si>
  <si>
    <t>FL250</t>
  </si>
  <si>
    <t>FL251</t>
  </si>
  <si>
    <t>FL252</t>
  </si>
  <si>
    <t>FL253</t>
  </si>
  <si>
    <t>FL254</t>
  </si>
  <si>
    <t>FL255</t>
  </si>
  <si>
    <t>FL256</t>
  </si>
  <si>
    <t>FL257</t>
  </si>
  <si>
    <t>FL258</t>
  </si>
  <si>
    <t>FL259</t>
  </si>
  <si>
    <t>FL260</t>
  </si>
  <si>
    <t>FL261</t>
  </si>
  <si>
    <t>FL262</t>
  </si>
  <si>
    <t>FL263</t>
  </si>
  <si>
    <t>FL264</t>
  </si>
  <si>
    <t>FL265</t>
  </si>
  <si>
    <t>FL266</t>
  </si>
  <si>
    <t>FL267</t>
  </si>
  <si>
    <t>FL268</t>
  </si>
  <si>
    <t>FL269</t>
  </si>
  <si>
    <t>FL270</t>
  </si>
  <si>
    <t>FL271</t>
  </si>
  <si>
    <t>FL272</t>
  </si>
  <si>
    <t>FL273</t>
  </si>
  <si>
    <t>FL274</t>
  </si>
  <si>
    <t>FL275</t>
  </si>
  <si>
    <t>FL276</t>
  </si>
  <si>
    <t>FL277</t>
  </si>
  <si>
    <t>FL278</t>
  </si>
  <si>
    <t>FL279</t>
  </si>
  <si>
    <t>FL280</t>
  </si>
  <si>
    <t>FL281</t>
  </si>
  <si>
    <t>FL282</t>
  </si>
  <si>
    <t>FL283</t>
  </si>
  <si>
    <t>FL284</t>
  </si>
  <si>
    <t>FL285</t>
  </si>
  <si>
    <t>FL286</t>
  </si>
  <si>
    <t>FL287</t>
  </si>
  <si>
    <t>FL288</t>
  </si>
  <si>
    <t>FL289</t>
  </si>
  <si>
    <t>FL290</t>
  </si>
  <si>
    <t>FL291</t>
  </si>
  <si>
    <t>FL292</t>
  </si>
  <si>
    <t>FL293</t>
  </si>
  <si>
    <t>FL294</t>
  </si>
  <si>
    <t>FL295</t>
  </si>
  <si>
    <t>FL296</t>
  </si>
  <si>
    <t>FL297</t>
  </si>
  <si>
    <t>FL298</t>
  </si>
  <si>
    <t>FL299</t>
  </si>
  <si>
    <t>FL300</t>
  </si>
  <si>
    <t>FL301</t>
  </si>
  <si>
    <t>FL302</t>
  </si>
  <si>
    <t>FL303</t>
  </si>
  <si>
    <t>FL304</t>
  </si>
  <si>
    <t>FL305</t>
  </si>
  <si>
    <t>FL306</t>
  </si>
  <si>
    <t>FL307</t>
  </si>
  <si>
    <t>FL308</t>
  </si>
  <si>
    <t>FL309</t>
  </si>
  <si>
    <t>FL310</t>
  </si>
  <si>
    <t>FL311</t>
  </si>
  <si>
    <t>FL312</t>
  </si>
  <si>
    <t>FL313</t>
  </si>
  <si>
    <t>FL314</t>
  </si>
  <si>
    <t>FL315</t>
  </si>
  <si>
    <t>FL316</t>
  </si>
  <si>
    <t>FL317</t>
  </si>
  <si>
    <t>FL318</t>
  </si>
  <si>
    <t>FL319</t>
  </si>
  <si>
    <t>FL320</t>
  </si>
  <si>
    <t>FL321</t>
  </si>
  <si>
    <t>FL322</t>
  </si>
  <si>
    <t>FL323</t>
  </si>
  <si>
    <t>FL324</t>
  </si>
  <si>
    <t>FL325</t>
  </si>
  <si>
    <t>FL326</t>
  </si>
  <si>
    <t>FL327</t>
  </si>
  <si>
    <t>FL328</t>
  </si>
  <si>
    <t>FL329</t>
  </si>
  <si>
    <t>FL330</t>
  </si>
  <si>
    <t>FL331</t>
  </si>
  <si>
    <t>FL332</t>
  </si>
  <si>
    <t>FL333</t>
  </si>
  <si>
    <t>FL334</t>
  </si>
  <si>
    <t>FL335</t>
  </si>
  <si>
    <t>FL336</t>
  </si>
  <si>
    <t>FL337</t>
  </si>
  <si>
    <t>FL338</t>
  </si>
  <si>
    <t>FL339</t>
  </si>
  <si>
    <t>FL340</t>
  </si>
  <si>
    <t>FL341</t>
  </si>
  <si>
    <t>FL342</t>
  </si>
  <si>
    <t>FL343</t>
  </si>
  <si>
    <t>FL344</t>
  </si>
  <si>
    <t>FL345</t>
  </si>
  <si>
    <t>FL346</t>
  </si>
  <si>
    <t>FL347</t>
  </si>
  <si>
    <t>FL348</t>
  </si>
  <si>
    <t>FL349</t>
  </si>
  <si>
    <t>FL350</t>
  </si>
  <si>
    <t>AL-239</t>
  </si>
  <si>
    <t>AL-455</t>
  </si>
  <si>
    <t>AL-454</t>
  </si>
  <si>
    <t>AL-468</t>
  </si>
  <si>
    <t>AL-137</t>
  </si>
  <si>
    <t>AL-197</t>
  </si>
  <si>
    <t>AL-482</t>
  </si>
  <si>
    <t>AL-187</t>
  </si>
  <si>
    <t>AL-244</t>
  </si>
  <si>
    <t>AL-405</t>
  </si>
  <si>
    <t>AL-232</t>
  </si>
  <si>
    <t>AL-453</t>
  </si>
  <si>
    <t>AL-456</t>
  </si>
  <si>
    <t>AL-376</t>
  </si>
  <si>
    <t>AL-159</t>
  </si>
  <si>
    <t>AL-289</t>
  </si>
  <si>
    <t>AL-461</t>
  </si>
  <si>
    <t>AL-290</t>
  </si>
  <si>
    <t>AL-417</t>
  </si>
  <si>
    <t>AL-375</t>
  </si>
  <si>
    <t>AL-216</t>
  </si>
  <si>
    <t>AL-250</t>
  </si>
  <si>
    <t>AL-438</t>
  </si>
  <si>
    <t>AL-129</t>
  </si>
  <si>
    <t>AL-103</t>
  </si>
  <si>
    <t>AL-199</t>
  </si>
  <si>
    <t>AL-363</t>
  </si>
  <si>
    <t>AL-488</t>
  </si>
  <si>
    <t>AL-171</t>
  </si>
  <si>
    <t>AL-398</t>
  </si>
  <si>
    <t>AL-192</t>
  </si>
  <si>
    <t>AL-268</t>
  </si>
  <si>
    <t>AL-492</t>
  </si>
  <si>
    <t>AL-276</t>
  </si>
  <si>
    <t>AL-309</t>
  </si>
  <si>
    <t>AL-174</t>
  </si>
  <si>
    <t>AL-188</t>
  </si>
  <si>
    <t>AL-120</t>
  </si>
  <si>
    <t>AL-288</t>
  </si>
  <si>
    <t>AL-224</t>
  </si>
  <si>
    <t>AL-474</t>
  </si>
  <si>
    <t>AL-164</t>
  </si>
  <si>
    <t>AL-460</t>
  </si>
  <si>
    <t>AL-253</t>
  </si>
  <si>
    <t>AL-339</t>
  </si>
  <si>
    <t>AL-156</t>
  </si>
  <si>
    <t>AL-450</t>
  </si>
  <si>
    <t>AL-207</t>
  </si>
  <si>
    <t>AL-442</t>
  </si>
  <si>
    <t>AL-220</t>
  </si>
  <si>
    <t>AL-166</t>
  </si>
  <si>
    <t>AL-332</t>
  </si>
  <si>
    <t>AL-125</t>
  </si>
  <si>
    <t>AL-351</t>
  </si>
  <si>
    <t>AL-210</t>
  </si>
  <si>
    <t>AL-419</t>
  </si>
  <si>
    <t>AL-106</t>
  </si>
  <si>
    <t>AL-296</t>
  </si>
  <si>
    <t>AL-128</t>
  </si>
  <si>
    <t>AL-263</t>
  </si>
  <si>
    <t>AL-333</t>
  </si>
  <si>
    <t>AL-397</t>
  </si>
  <si>
    <t>AL-149</t>
  </si>
  <si>
    <t>AL-337</t>
  </si>
  <si>
    <t>AL-316</t>
  </si>
  <si>
    <t>AL-443</t>
  </si>
  <si>
    <t>AL-409</t>
  </si>
  <si>
    <t>AL-112</t>
  </si>
  <si>
    <t>AL-133</t>
  </si>
  <si>
    <t>AL-109</t>
  </si>
  <si>
    <t>AL-181</t>
  </si>
  <si>
    <t>AL-374</t>
  </si>
  <si>
    <t>AL-131</t>
  </si>
  <si>
    <t>AL-116</t>
  </si>
  <si>
    <t>AL-226</t>
  </si>
  <si>
    <t>AL-382</t>
  </si>
  <si>
    <t>AL-252</t>
  </si>
  <si>
    <t>AL-170</t>
  </si>
  <si>
    <t>AL-278</t>
  </si>
  <si>
    <t>AL-464</t>
  </si>
  <si>
    <t>AL-394</t>
  </si>
  <si>
    <t>AL-183</t>
  </si>
  <si>
    <t>AL-237</t>
  </si>
  <si>
    <t>AL-445</t>
  </si>
  <si>
    <t>AL-384</t>
  </si>
  <si>
    <t>AL-439</t>
  </si>
  <si>
    <t>AL-380</t>
  </si>
  <si>
    <t>AL-124</t>
  </si>
  <si>
    <t>AL-136</t>
  </si>
  <si>
    <t>AL-428</t>
  </si>
  <si>
    <t>AL-338</t>
  </si>
  <si>
    <t>AL-410</t>
  </si>
  <si>
    <t>AL-186</t>
  </si>
  <si>
    <t>AL-206</t>
  </si>
  <si>
    <t>AL-326</t>
  </si>
  <si>
    <t>AL-383</t>
  </si>
  <si>
    <t>AL-344</t>
  </si>
  <si>
    <t>AL-312</t>
  </si>
  <si>
    <t>AL-481</t>
  </si>
  <si>
    <t>AL-229</t>
  </si>
  <si>
    <t>AL-258</t>
  </si>
  <si>
    <t>AL-270</t>
  </si>
  <si>
    <t>AL-281</t>
  </si>
  <si>
    <t>AL-411</t>
  </si>
  <si>
    <t>AL-286</t>
  </si>
  <si>
    <t>AL-472</t>
  </si>
  <si>
    <t>AL-366</t>
  </si>
  <si>
    <t>AL-114</t>
  </si>
  <si>
    <t>AL-402</t>
  </si>
  <si>
    <t>AL-217</t>
  </si>
  <si>
    <t>AL-262</t>
  </si>
  <si>
    <t>AL-285</t>
  </si>
  <si>
    <t>AL-193</t>
  </si>
  <si>
    <t>AL-269</t>
  </si>
  <si>
    <t>AL-355</t>
  </si>
  <si>
    <t>AL-141</t>
  </si>
  <si>
    <t>AL-469</t>
  </si>
  <si>
    <t>AL-295</t>
  </si>
  <si>
    <t>AL-463</t>
  </si>
  <si>
    <t>AL-354</t>
  </si>
  <si>
    <t>AL-277</t>
  </si>
  <si>
    <t>AL-465</t>
  </si>
  <si>
    <t>AL-219</t>
  </si>
  <si>
    <t>AL-483</t>
  </si>
  <si>
    <t>AL-150</t>
  </si>
  <si>
    <t>AL-190</t>
  </si>
  <si>
    <t>AL-381</t>
  </si>
  <si>
    <t>AL-310</t>
  </si>
  <si>
    <t>AL-302</t>
  </si>
  <si>
    <t>AL-476</t>
  </si>
  <si>
    <t>AL-490</t>
  </si>
  <si>
    <t>AL-342</t>
  </si>
  <si>
    <t>AL-107</t>
  </si>
  <si>
    <t>AL-214</t>
  </si>
  <si>
    <t>AL-336</t>
  </si>
  <si>
    <t>AL-251</t>
  </si>
  <si>
    <t>AL-327</t>
  </si>
  <si>
    <t>AL-135</t>
  </si>
  <si>
    <t>AL-102</t>
  </si>
  <si>
    <t>AL-441</t>
  </si>
  <si>
    <t>AL-459</t>
  </si>
  <si>
    <t>AL-148</t>
  </si>
  <si>
    <t>AL-437</t>
  </si>
  <si>
    <t>AL-227</t>
  </si>
  <si>
    <t>AL-422</t>
  </si>
  <si>
    <t>AL-142</t>
  </si>
  <si>
    <t>AL-121</t>
  </si>
  <si>
    <t>AL-301</t>
  </si>
  <si>
    <t>AL-307</t>
  </si>
  <si>
    <t>AL-390</t>
  </si>
  <si>
    <t>AL-416</t>
  </si>
  <si>
    <t>AL-448</t>
  </si>
  <si>
    <t>AL-144</t>
  </si>
  <si>
    <t>AL-444</t>
  </si>
  <si>
    <t>AL-345</t>
  </si>
  <si>
    <t>AL-365</t>
  </si>
  <si>
    <t>AL-211</t>
  </si>
  <si>
    <t>AL-175</t>
  </si>
  <si>
    <t>AL-122</t>
  </si>
  <si>
    <t>AL-323</t>
  </si>
  <si>
    <t>AL-151</t>
  </si>
  <si>
    <t>AL-249</t>
  </si>
  <si>
    <t>AL-369</t>
  </si>
  <si>
    <t>AL-117</t>
  </si>
  <si>
    <t>AL-330</t>
  </si>
  <si>
    <t>AL-331</t>
  </si>
  <si>
    <t>AL-320</t>
  </si>
  <si>
    <t>AL-403</t>
  </si>
  <si>
    <t>AL-315</t>
  </si>
  <si>
    <t>AL-293</t>
  </si>
  <si>
    <t>AL-359</t>
  </si>
  <si>
    <t>AL-208</t>
  </si>
  <si>
    <t>AL-152</t>
  </si>
  <si>
    <t>AL-391</t>
  </si>
  <si>
    <t>AL-236</t>
  </si>
  <si>
    <t>AL-480</t>
  </si>
  <si>
    <t>AL-377</t>
  </si>
  <si>
    <t>AL-457</t>
  </si>
  <si>
    <t>AL-272</t>
  </si>
  <si>
    <t>AL-361</t>
  </si>
  <si>
    <t>AL-322</t>
  </si>
  <si>
    <t>AL-408</t>
  </si>
  <si>
    <t>AL-493</t>
  </si>
  <si>
    <t>AL-372</t>
  </si>
  <si>
    <t>AL-393</t>
  </si>
  <si>
    <t>AL-319</t>
  </si>
  <si>
    <t>AL-478</t>
  </si>
  <si>
    <t>AL-452</t>
  </si>
  <si>
    <t>AL-113</t>
  </si>
  <si>
    <t>AL-189</t>
  </si>
  <si>
    <t>AL-451</t>
  </si>
  <si>
    <t>AL-274</t>
  </si>
  <si>
    <t>AL-235</t>
  </si>
  <si>
    <t>AL-467</t>
  </si>
  <si>
    <t>AL-179</t>
  </si>
  <si>
    <t>AL-484</t>
  </si>
  <si>
    <t>AL-265</t>
  </si>
  <si>
    <t>AL-203</t>
  </si>
  <si>
    <t>AL-498</t>
  </si>
  <si>
    <t>AL-261</t>
  </si>
  <si>
    <t>AL-415</t>
  </si>
  <si>
    <t>AL-364</t>
  </si>
  <si>
    <t>AL-449</t>
  </si>
  <si>
    <t>AL-368</t>
  </si>
  <si>
    <t>AL-157</t>
  </si>
  <si>
    <t>AL-424</t>
  </si>
  <si>
    <t>AL-406</t>
  </si>
  <si>
    <t>AL-155</t>
  </si>
  <si>
    <t>AL-395</t>
  </si>
  <si>
    <t>AL-245</t>
  </si>
  <si>
    <t>AL-180</t>
  </si>
  <si>
    <t>AL-173</t>
  </si>
  <si>
    <t>AL-222</t>
  </si>
  <si>
    <t>AL-140</t>
  </si>
  <si>
    <t>AL-389</t>
  </si>
  <si>
    <t>AL-242</t>
  </si>
  <si>
    <t>AL-400</t>
  </si>
  <si>
    <t>AL-412</t>
  </si>
  <si>
    <t>AL-470</t>
  </si>
  <si>
    <t>AL-254</t>
  </si>
  <si>
    <t>AL-466</t>
  </si>
  <si>
    <t>AL-471</t>
  </si>
  <si>
    <t>AL-213</t>
  </si>
  <si>
    <t>AL-218</t>
  </si>
  <si>
    <t>AL-228</t>
  </si>
  <si>
    <t>AL-184</t>
  </si>
  <si>
    <t>AL-360</t>
  </si>
  <si>
    <t>AL-100</t>
  </si>
  <si>
    <t>AL-487</t>
  </si>
  <si>
    <t>AL-240</t>
  </si>
  <si>
    <t>AL-318</t>
  </si>
  <si>
    <t>AL-343</t>
  </si>
  <si>
    <t>AL-352</t>
  </si>
  <si>
    <t>AL-432</t>
  </si>
  <si>
    <t>Benin</t>
  </si>
  <si>
    <t>Port Harcourt</t>
  </si>
  <si>
    <t>Enugu</t>
  </si>
  <si>
    <t>Abuja</t>
  </si>
  <si>
    <t>Lagos</t>
  </si>
  <si>
    <t>Jos</t>
  </si>
  <si>
    <t>Kano</t>
  </si>
  <si>
    <t>Ibadan</t>
  </si>
  <si>
    <t>Owerri</t>
  </si>
  <si>
    <t>Calabar</t>
  </si>
  <si>
    <t>Uyo</t>
  </si>
  <si>
    <t>Airbus A320</t>
  </si>
  <si>
    <t>CRJ-900</t>
  </si>
  <si>
    <t>Embraer 175</t>
  </si>
  <si>
    <t>Boeing 777</t>
  </si>
  <si>
    <t>Boeing 737</t>
  </si>
  <si>
    <t>Economy</t>
  </si>
  <si>
    <t>Business</t>
  </si>
  <si>
    <t>FL016</t>
  </si>
  <si>
    <t>FL090</t>
  </si>
  <si>
    <t>FL003</t>
  </si>
  <si>
    <t>FL008</t>
  </si>
  <si>
    <t>Flight ID</t>
  </si>
  <si>
    <t>Flight Number</t>
  </si>
  <si>
    <t>Departure City</t>
  </si>
  <si>
    <t>Arrival City</t>
  </si>
  <si>
    <t>Aircraft Type</t>
  </si>
  <si>
    <t>Arrival Delay (mins)</t>
  </si>
  <si>
    <t>Ticket Price</t>
  </si>
  <si>
    <t>Passenger Count</t>
  </si>
  <si>
    <t>Flight Date</t>
  </si>
  <si>
    <t>Revenue</t>
  </si>
  <si>
    <t>Total Passengers</t>
  </si>
  <si>
    <t>Discounted Revenue</t>
  </si>
  <si>
    <t>Discount</t>
  </si>
  <si>
    <t>Amount OFF</t>
  </si>
  <si>
    <t>Performance Rating</t>
  </si>
  <si>
    <t>Using VLOOKUP</t>
  </si>
  <si>
    <t>Using XLOOKUP</t>
  </si>
  <si>
    <t>Using INDEX+MATCH</t>
  </si>
  <si>
    <t>Using INDEX</t>
  </si>
  <si>
    <t xml:space="preserve">Total Number of Passengers using </t>
  </si>
  <si>
    <t>Aggregate</t>
  </si>
  <si>
    <t>Subtotal</t>
  </si>
  <si>
    <t>Average flight delay</t>
  </si>
  <si>
    <t>Sum of Discounted Revenue</t>
  </si>
  <si>
    <t>Sum of Passenger Count</t>
  </si>
  <si>
    <t>Count of Flight ID</t>
  </si>
  <si>
    <t>Average of Ticket Price</t>
  </si>
  <si>
    <t>Row Labels</t>
  </si>
  <si>
    <t>Grand Total</t>
  </si>
  <si>
    <t xml:space="preserve"> </t>
  </si>
  <si>
    <t>Jan</t>
  </si>
  <si>
    <t>Feb</t>
  </si>
  <si>
    <t>Mar</t>
  </si>
  <si>
    <t>Apr</t>
  </si>
  <si>
    <t>May</t>
  </si>
  <si>
    <t>Jun</t>
  </si>
  <si>
    <t>Late</t>
  </si>
  <si>
    <t>On Time</t>
  </si>
  <si>
    <t>Slight Delay</t>
  </si>
  <si>
    <t>STATUS</t>
  </si>
  <si>
    <t>Average of STATUS</t>
  </si>
  <si>
    <t>Sum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</si>
</sst>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A]* #,##0.00_-;\-[$₦-46A]* #,##0.00_-;_-[$₦-46A]* &quot;-&quot;??_-;_-@_-"/>
    <numFmt numFmtId="165" formatCode="_-[$₦-46A]* #,##0_-;\-[$₦-46A]* #,##0_-;_-[$₦-46A]* &quot;-&quot;??_-;_-@_-"/>
    <numFmt numFmtId="166" formatCode="_(* #,##0_);_(* \(#,##0\);_(* &quot;-&quot;??_);_(@_)"/>
    <numFmt numFmtId="167" formatCode="\₦#.#,,,&quot;B&quot;"/>
    <numFmt numFmtId="168" formatCode="\₦0,\K"/>
    <numFmt numFmtId="169" formatCode="\ \₦#,##0,,&quot;M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NumberFormat="1"/>
    <xf numFmtId="49" fontId="0" fillId="0" borderId="0" xfId="0" applyNumberFormat="1"/>
    <xf numFmtId="1" fontId="0" fillId="0" borderId="0" xfId="2" applyNumberFormat="1" applyFont="1"/>
    <xf numFmtId="164" fontId="0" fillId="0" borderId="0" xfId="1" applyNumberFormat="1" applyFont="1"/>
    <xf numFmtId="1" fontId="0" fillId="0" borderId="0" xfId="0" applyNumberFormat="1"/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2" applyNumberFormat="1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top"/>
    </xf>
    <xf numFmtId="165" fontId="0" fillId="0" borderId="0" xfId="0" applyNumberFormat="1"/>
    <xf numFmtId="164" fontId="3" fillId="2" borderId="0" xfId="1" applyNumberFormat="1" applyFont="1" applyFill="1"/>
    <xf numFmtId="0" fontId="0" fillId="0" borderId="2" xfId="0" applyBorder="1"/>
    <xf numFmtId="9" fontId="0" fillId="0" borderId="0" xfId="3" applyFont="1"/>
    <xf numFmtId="0" fontId="1" fillId="2" borderId="0" xfId="0" applyFont="1" applyFill="1"/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0" fillId="0" borderId="4" xfId="0" applyBorder="1"/>
    <xf numFmtId="165" fontId="0" fillId="0" borderId="4" xfId="0" applyNumberFormat="1" applyBorder="1"/>
    <xf numFmtId="0" fontId="0" fillId="2" borderId="4" xfId="0" applyFill="1" applyBorder="1"/>
    <xf numFmtId="166" fontId="0" fillId="0" borderId="4" xfId="1" applyNumberFormat="1" applyFont="1" applyBorder="1"/>
    <xf numFmtId="0" fontId="1" fillId="2" borderId="4" xfId="0" applyFont="1" applyFill="1" applyBorder="1"/>
    <xf numFmtId="9" fontId="0" fillId="0" borderId="4" xfId="3" applyFont="1" applyBorder="1"/>
    <xf numFmtId="0" fontId="1" fillId="2" borderId="4" xfId="0" applyFont="1" applyFill="1" applyBorder="1" applyAlignment="1">
      <alignment horizontal="center"/>
    </xf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9" fontId="0" fillId="0" borderId="0" xfId="0" applyNumberFormat="1"/>
    <xf numFmtId="0" fontId="1" fillId="2" borderId="4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4">
    <dxf>
      <numFmt numFmtId="169" formatCode="\ \₦#,##0,,&quot;M&quot;"/>
    </dxf>
    <dxf>
      <numFmt numFmtId="168" formatCode="\₦0,\K"/>
    </dxf>
    <dxf>
      <numFmt numFmtId="166" formatCode="_(* #,##0_);_(* \(#,##0\);_(* &quot;-&quot;??_);_(@_)"/>
    </dxf>
    <dxf>
      <numFmt numFmtId="169" formatCode="\ \₦#,##0,,&quot;M&quot;"/>
    </dxf>
    <dxf>
      <numFmt numFmtId="169" formatCode="\ \₦#,##0,,&quot;M&quot;"/>
    </dxf>
    <dxf>
      <numFmt numFmtId="13" formatCode="0%"/>
    </dxf>
    <dxf>
      <numFmt numFmtId="168" formatCode="\₦0,\K"/>
    </dxf>
    <dxf>
      <numFmt numFmtId="166" formatCode="_(* #,##0_);_(* \(#,##0\);_(* &quot;-&quot;??_);_(@_)"/>
    </dxf>
    <dxf>
      <numFmt numFmtId="167" formatCode="\₦#.#,,,&quot;B&quot;"/>
    </dxf>
    <dxf>
      <numFmt numFmtId="0" formatCode="General"/>
    </dxf>
    <dxf>
      <numFmt numFmtId="0" formatCode="General"/>
    </dxf>
    <dxf>
      <numFmt numFmtId="165" formatCode="_-[$₦-46A]* #,##0_-;\-[$₦-46A]* #,##0_-;_-[$₦-46A]* &quot;-&quot;??_-;_-@_-"/>
    </dxf>
    <dxf>
      <numFmt numFmtId="165" formatCode="_-[$₦-46A]* #,##0_-;\-[$₦-46A]* #,##0_-;_-[$₦-46A]* &quot;-&quot;??_-;_-@_-"/>
    </dxf>
    <dxf>
      <numFmt numFmtId="30" formatCode="@"/>
    </dxf>
    <dxf>
      <numFmt numFmtId="170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.00_-;\-[$₦-46A]* #,##0.0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₦-46A]* #,##0_-;\-[$₦-46A]* #,##0_-;_-[$₦-46A]* &quot;-&quot;??_-;_-@_-"/>
    </dxf>
    <dxf>
      <numFmt numFmtId="165" formatCode="_-[$₦-46A]* #,##0_-;\-[$₦-46A]* #,##0_-;_-[$₦-46A]* &quot;-&quot;??_-;_-@_-"/>
    </dxf>
    <dxf>
      <numFmt numFmtId="30" formatCode="@"/>
    </dxf>
    <dxf>
      <numFmt numFmtId="170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.00_-;\-[$₦-46A]* #,##0.0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numFmt numFmtId="0" formatCode="General"/>
    </dxf>
    <dxf>
      <numFmt numFmtId="165" formatCode="_-[$₦-46A]* #,##0_-;\-[$₦-46A]* #,##0_-;_-[$₦-46A]* &quot;-&quot;??_-;_-@_-"/>
    </dxf>
    <dxf>
      <numFmt numFmtId="165" formatCode="_-[$₦-46A]* #,##0_-;\-[$₦-46A]* #,##0_-;_-[$₦-46A]* &quot;-&quot;??_-;_-@_-"/>
    </dxf>
    <dxf>
      <numFmt numFmtId="30" formatCode="@"/>
    </dxf>
    <dxf>
      <numFmt numFmtId="170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.00_-;\-[$₦-46A]* #,##0.0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[$₦-46A]* #,##0_-;\-[$₦-46A]* #,##0_-;_-[$₦-46A]* &quot;-&quot;??_-;_-@_-"/>
    </dxf>
    <dxf>
      <numFmt numFmtId="165" formatCode="_-[$₦-46A]* #,##0_-;\-[$₦-46A]* #,##0_-;_-[$₦-46A]* &quot;-&quot;??_-;_-@_-"/>
    </dxf>
    <dxf>
      <numFmt numFmtId="30" formatCode="@"/>
    </dxf>
    <dxf>
      <numFmt numFmtId="170" formatCode="m/d/yyyy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A]* #,##0.00_-;\-[$₦-46A]* #,##0.00_-;_-[$₦-46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colors>
    <mruColors>
      <color rgb="FF7F6AC1"/>
      <color rgb="FF282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7F6AC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7F6AC1"/>
                </a:solidFill>
              </a:rPr>
              <a:t>Total Revenue by Departure City</a:t>
            </a:r>
          </a:p>
        </c:rich>
      </c:tx>
      <c:layout>
        <c:manualLayout>
          <c:xMode val="edge"/>
          <c:yMode val="edge"/>
          <c:x val="7.688888888888889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7F6AC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6AC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21959755030623"/>
          <c:y val="0.10360294117647059"/>
          <c:w val="0.68922484689413821"/>
          <c:h val="0.874338235294117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6A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F6AC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TABLE'!$A$11:$A$17</c:f>
              <c:strCache>
                <c:ptCount val="6"/>
                <c:pt idx="0">
                  <c:v>Port Harcourt</c:v>
                </c:pt>
                <c:pt idx="1">
                  <c:v>Lagos</c:v>
                </c:pt>
                <c:pt idx="2">
                  <c:v>Abuja</c:v>
                </c:pt>
                <c:pt idx="3">
                  <c:v>Enugu</c:v>
                </c:pt>
                <c:pt idx="4">
                  <c:v>Benin</c:v>
                </c:pt>
                <c:pt idx="5">
                  <c:v>Kano</c:v>
                </c:pt>
              </c:strCache>
            </c:strRef>
          </c:cat>
          <c:val>
            <c:numRef>
              <c:f>'PIVOT TABLE'!$B$11:$B$17</c:f>
              <c:numCache>
                <c:formatCode>\ \₦#,##0,,"M"</c:formatCode>
                <c:ptCount val="6"/>
                <c:pt idx="0">
                  <c:v>374719500</c:v>
                </c:pt>
                <c:pt idx="1">
                  <c:v>401008500</c:v>
                </c:pt>
                <c:pt idx="2">
                  <c:v>437472000</c:v>
                </c:pt>
                <c:pt idx="3">
                  <c:v>442710000</c:v>
                </c:pt>
                <c:pt idx="4">
                  <c:v>445549500</c:v>
                </c:pt>
                <c:pt idx="5">
                  <c:v>459477000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D-41B3-9812-FB375093E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5"/>
        <c:axId val="1191584928"/>
        <c:axId val="1191587424"/>
      </c:barChart>
      <c:catAx>
        <c:axId val="119158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87424"/>
        <c:crosses val="autoZero"/>
        <c:auto val="1"/>
        <c:lblAlgn val="ctr"/>
        <c:lblOffset val="100"/>
        <c:noMultiLvlLbl val="0"/>
      </c:catAx>
      <c:valAx>
        <c:axId val="1191587424"/>
        <c:scaling>
          <c:orientation val="minMax"/>
        </c:scaling>
        <c:delete val="1"/>
        <c:axPos val="b"/>
        <c:numFmt formatCode="\ \₦#,##0,,&quot;M&quot;" sourceLinked="1"/>
        <c:majorTickMark val="none"/>
        <c:minorTickMark val="none"/>
        <c:tickLblPos val="nextTo"/>
        <c:crossAx val="11915849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7F6AC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7F6AC1"/>
                </a:solidFill>
              </a:rPr>
              <a:t>Monthly</a:t>
            </a:r>
            <a:r>
              <a:rPr lang="en-US" sz="1050" b="1" baseline="0">
                <a:solidFill>
                  <a:srgbClr val="7F6AC1"/>
                </a:solidFill>
              </a:rPr>
              <a:t> Revenue Trend</a:t>
            </a:r>
            <a:endParaRPr lang="en-US" sz="1050" b="1">
              <a:solidFill>
                <a:srgbClr val="7F6AC1"/>
              </a:solidFill>
            </a:endParaRPr>
          </a:p>
        </c:rich>
      </c:tx>
      <c:layout>
        <c:manualLayout>
          <c:xMode val="edge"/>
          <c:yMode val="edge"/>
          <c:x val="2.551432157936781E-2"/>
          <c:y val="3.9867109634551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7F6AC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TABLE'!$A$29:$A$35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TABLE'!$B$29:$B$35</c:f>
              <c:numCache>
                <c:formatCode>\ \₦#,##0,,"M"</c:formatCode>
                <c:ptCount val="6"/>
                <c:pt idx="0">
                  <c:v>628987500</c:v>
                </c:pt>
                <c:pt idx="1">
                  <c:v>393246000</c:v>
                </c:pt>
                <c:pt idx="2">
                  <c:v>621189000</c:v>
                </c:pt>
                <c:pt idx="3">
                  <c:v>523678500</c:v>
                </c:pt>
                <c:pt idx="4">
                  <c:v>557554500</c:v>
                </c:pt>
                <c:pt idx="5">
                  <c:v>544203000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6-41ED-9FA2-FEF219B0C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988032"/>
        <c:axId val="462992192"/>
      </c:lineChart>
      <c:catAx>
        <c:axId val="46298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92192"/>
        <c:crosses val="autoZero"/>
        <c:auto val="1"/>
        <c:lblAlgn val="ctr"/>
        <c:lblOffset val="100"/>
        <c:noMultiLvlLbl val="0"/>
      </c:catAx>
      <c:valAx>
        <c:axId val="462992192"/>
        <c:scaling>
          <c:orientation val="minMax"/>
        </c:scaling>
        <c:delete val="0"/>
        <c:axPos val="l"/>
        <c:numFmt formatCode="\ \₦#,##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98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7F6AC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7F6AC1"/>
                </a:solidFill>
              </a:rPr>
              <a:t>Flights</a:t>
            </a:r>
            <a:r>
              <a:rPr lang="en-US" sz="1050" b="1" baseline="0">
                <a:solidFill>
                  <a:srgbClr val="7F6AC1"/>
                </a:solidFill>
              </a:rPr>
              <a:t> Operated by Aircraft Type</a:t>
            </a:r>
            <a:endParaRPr lang="en-US" sz="1050" b="1">
              <a:solidFill>
                <a:srgbClr val="7F6AC1"/>
              </a:solidFill>
            </a:endParaRPr>
          </a:p>
        </c:rich>
      </c:tx>
      <c:layout>
        <c:manualLayout>
          <c:xMode val="edge"/>
          <c:yMode val="edge"/>
          <c:x val="4.0724946695095951E-2"/>
          <c:y val="0.10714285714285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7F6AC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6AC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6A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F6AC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TABLE'!$A$49:$A$54</c:f>
              <c:strCache>
                <c:ptCount val="5"/>
                <c:pt idx="0">
                  <c:v>Embraer 175</c:v>
                </c:pt>
                <c:pt idx="1">
                  <c:v>Boeing 777</c:v>
                </c:pt>
                <c:pt idx="2">
                  <c:v>CRJ-900</c:v>
                </c:pt>
                <c:pt idx="3">
                  <c:v>Airbus A320</c:v>
                </c:pt>
                <c:pt idx="4">
                  <c:v>Boeing 737</c:v>
                </c:pt>
              </c:strCache>
            </c:strRef>
          </c:cat>
          <c:val>
            <c:numRef>
              <c:f>'PIVOT TABLE'!$B$49:$B$54</c:f>
              <c:numCache>
                <c:formatCode>General</c:formatCode>
                <c:ptCount val="5"/>
                <c:pt idx="0">
                  <c:v>62</c:v>
                </c:pt>
                <c:pt idx="1">
                  <c:v>69</c:v>
                </c:pt>
                <c:pt idx="2">
                  <c:v>71</c:v>
                </c:pt>
                <c:pt idx="3">
                  <c:v>73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A-4577-9A1D-EDA93706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94919536"/>
        <c:axId val="994907056"/>
      </c:barChart>
      <c:catAx>
        <c:axId val="99491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07056"/>
        <c:crosses val="autoZero"/>
        <c:auto val="1"/>
        <c:lblAlgn val="ctr"/>
        <c:lblOffset val="100"/>
        <c:noMultiLvlLbl val="0"/>
      </c:catAx>
      <c:valAx>
        <c:axId val="994907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491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7F6AC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7F6AC1"/>
                </a:solidFill>
              </a:rPr>
              <a:t>Flight</a:t>
            </a:r>
            <a:r>
              <a:rPr lang="en-US" sz="1050" b="1" baseline="0">
                <a:solidFill>
                  <a:srgbClr val="7F6AC1"/>
                </a:solidFill>
              </a:rPr>
              <a:t> Punctuality by Status</a:t>
            </a:r>
            <a:endParaRPr lang="en-US" sz="1050" b="1">
              <a:solidFill>
                <a:srgbClr val="7F6AC1"/>
              </a:solidFill>
            </a:endParaRPr>
          </a:p>
        </c:rich>
      </c:tx>
      <c:layout>
        <c:manualLayout>
          <c:xMode val="edge"/>
          <c:yMode val="edge"/>
          <c:x val="8.4449420886609339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7F6AC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6AC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136482939632531E-2"/>
          <c:y val="0.26791447944006996"/>
          <c:w val="0.77378937007874016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6A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F6AC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TABLE'!$A$66:$A$69</c:f>
              <c:strCache>
                <c:ptCount val="3"/>
                <c:pt idx="0">
                  <c:v>Late</c:v>
                </c:pt>
                <c:pt idx="1">
                  <c:v>Slight Delay</c:v>
                </c:pt>
                <c:pt idx="2">
                  <c:v>On Time</c:v>
                </c:pt>
              </c:strCache>
            </c:strRef>
          </c:cat>
          <c:val>
            <c:numRef>
              <c:f>'PIVOT TABLE'!$B$66:$B$69</c:f>
              <c:numCache>
                <c:formatCode>General</c:formatCode>
                <c:ptCount val="3"/>
                <c:pt idx="0">
                  <c:v>273</c:v>
                </c:pt>
                <c:pt idx="1">
                  <c:v>50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9EA-ACB7-4A699C8CA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76"/>
        <c:axId val="1090620399"/>
        <c:axId val="1090635791"/>
      </c:barChart>
      <c:catAx>
        <c:axId val="109062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35791"/>
        <c:crosses val="autoZero"/>
        <c:auto val="1"/>
        <c:lblAlgn val="ctr"/>
        <c:lblOffset val="100"/>
        <c:noMultiLvlLbl val="0"/>
      </c:catAx>
      <c:valAx>
        <c:axId val="1090635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06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7F6AC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8111455108359129E-2"/>
              <c:y val="0.368794605461551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6266253869969042"/>
                  <c:h val="0.37546099290780133"/>
                </c:manualLayout>
              </c15:layout>
            </c:ext>
          </c:extLst>
        </c:dLbl>
      </c:pivotFmt>
      <c:pivotFmt>
        <c:idx val="8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0959752321981424E-2"/>
              <c:y val="-0.285101915452057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7F6AC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35106847712147438"/>
                  <c:h val="0.29360585245993187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244874576436462"/>
          <c:y val="4.3981124699838045E-2"/>
          <c:w val="0.70394627142195465"/>
          <c:h val="0.80629306974926007"/>
        </c:manualLayout>
      </c:layout>
      <c:doughnutChart>
        <c:varyColors val="1"/>
        <c:ser>
          <c:idx val="0"/>
          <c:order val="0"/>
          <c:tx>
            <c:strRef>
              <c:f>'PIVOT TABLE'!$B$84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F6A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D8-4116-928A-EB857E476252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D8-4116-928A-EB857E476252}"/>
              </c:ext>
            </c:extLst>
          </c:dPt>
          <c:dLbls>
            <c:dLbl>
              <c:idx val="0"/>
              <c:layout>
                <c:manualLayout>
                  <c:x val="6.8111455108359129E-2"/>
                  <c:y val="0.368794605461551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F6AC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266253869969042"/>
                      <c:h val="0.375460992907801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AD8-4116-928A-EB857E476252}"/>
                </c:ext>
              </c:extLst>
            </c:dLbl>
            <c:dLbl>
              <c:idx val="1"/>
              <c:layout>
                <c:manualLayout>
                  <c:x val="-3.0959752321981424E-2"/>
                  <c:y val="-0.2851019154520578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7F6AC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106847712147438"/>
                      <c:h val="0.293605852459931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AD8-4116-928A-EB857E4762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F6AC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TABLE'!$A$85:$A$87</c:f>
              <c:strCache>
                <c:ptCount val="2"/>
                <c:pt idx="0">
                  <c:v>Business</c:v>
                </c:pt>
                <c:pt idx="1">
                  <c:v>Economy</c:v>
                </c:pt>
              </c:strCache>
            </c:strRef>
          </c:cat>
          <c:val>
            <c:numRef>
              <c:f>'PIVOT TABLE'!$B$85:$B$87</c:f>
              <c:numCache>
                <c:formatCode>General</c:formatCode>
                <c:ptCount val="2"/>
                <c:pt idx="0">
                  <c:v>164</c:v>
                </c:pt>
                <c:pt idx="1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D8-4116-928A-EB857E4762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TABLE!PivotTable8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780748663101602E-2"/>
          <c:y val="0.3728813559322034"/>
          <c:w val="0.80748663101604279"/>
          <c:h val="0.627118644067796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TABLE'!$E$8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TABLE'!$D$9:$D$15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TABLE'!$E$9:$E$15</c:f>
              <c:numCache>
                <c:formatCode>\ \₦#,##0,,"M"</c:formatCode>
                <c:ptCount val="6"/>
                <c:pt idx="0">
                  <c:v>628987500</c:v>
                </c:pt>
                <c:pt idx="1">
                  <c:v>393246000</c:v>
                </c:pt>
                <c:pt idx="2">
                  <c:v>621189000</c:v>
                </c:pt>
                <c:pt idx="3">
                  <c:v>523678500</c:v>
                </c:pt>
                <c:pt idx="4">
                  <c:v>557554500</c:v>
                </c:pt>
                <c:pt idx="5">
                  <c:v>544203000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D-49C1-A41E-B53AE2E4E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116496"/>
        <c:axId val="1368103600"/>
      </c:lineChart>
      <c:catAx>
        <c:axId val="13681164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8103600"/>
        <c:crosses val="autoZero"/>
        <c:auto val="1"/>
        <c:lblAlgn val="ctr"/>
        <c:lblOffset val="100"/>
        <c:noMultiLvlLbl val="0"/>
      </c:catAx>
      <c:valAx>
        <c:axId val="1368103600"/>
        <c:scaling>
          <c:orientation val="minMax"/>
        </c:scaling>
        <c:delete val="1"/>
        <c:axPos val="l"/>
        <c:numFmt formatCode="\ \₦#,##0,,&quot;M&quot;" sourceLinked="1"/>
        <c:majorTickMark val="none"/>
        <c:minorTickMark val="none"/>
        <c:tickLblPos val="nextTo"/>
        <c:crossAx val="136811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844720496894408E-2"/>
          <c:y val="8.4210526315789472E-2"/>
          <c:w val="0.93888888888888888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TABLE'!$E$21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TABLE'!$D$22:$D$28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TABLE'!$E$22:$E$28</c:f>
              <c:numCache>
                <c:formatCode>General</c:formatCode>
                <c:ptCount val="6"/>
                <c:pt idx="0">
                  <c:v>8099</c:v>
                </c:pt>
                <c:pt idx="1">
                  <c:v>5216</c:v>
                </c:pt>
                <c:pt idx="2">
                  <c:v>7720</c:v>
                </c:pt>
                <c:pt idx="3">
                  <c:v>6952</c:v>
                </c:pt>
                <c:pt idx="4">
                  <c:v>6779</c:v>
                </c:pt>
                <c:pt idx="5">
                  <c:v>6958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A-4585-9980-7710BE048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759535"/>
        <c:axId val="497755791"/>
      </c:lineChart>
      <c:catAx>
        <c:axId val="497759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755791"/>
        <c:crosses val="autoZero"/>
        <c:auto val="1"/>
        <c:lblAlgn val="ctr"/>
        <c:lblOffset val="100"/>
        <c:noMultiLvlLbl val="0"/>
      </c:catAx>
      <c:valAx>
        <c:axId val="497755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775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TABLE!PivotTable11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30150753768844E-2"/>
          <c:y val="0.10896893793787588"/>
          <c:w val="0.80869565217391304"/>
          <c:h val="0.747126436781609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TABLE'!$E$38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TABLE'!$D$39:$D$45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TABLE'!$E$39:$E$45</c:f>
              <c:numCache>
                <c:formatCode>General</c:formatCode>
                <c:ptCount val="6"/>
                <c:pt idx="0">
                  <c:v>70</c:v>
                </c:pt>
                <c:pt idx="1">
                  <c:v>45</c:v>
                </c:pt>
                <c:pt idx="2">
                  <c:v>65</c:v>
                </c:pt>
                <c:pt idx="3">
                  <c:v>56</c:v>
                </c:pt>
                <c:pt idx="4">
                  <c:v>55</c:v>
                </c:pt>
                <c:pt idx="5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A4D-AD98-471BB6787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764831"/>
        <c:axId val="501751519"/>
      </c:lineChart>
      <c:catAx>
        <c:axId val="501764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1751519"/>
        <c:crosses val="autoZero"/>
        <c:auto val="1"/>
        <c:lblAlgn val="ctr"/>
        <c:lblOffset val="100"/>
        <c:noMultiLvlLbl val="0"/>
      </c:catAx>
      <c:valAx>
        <c:axId val="501751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1764831"/>
        <c:crosses val="autoZero"/>
        <c:crossBetween val="between"/>
      </c:valAx>
      <c:spPr>
        <a:noFill/>
        <a:ln w="15875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TABLE!PivotTable12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TABLE'!$E$57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TABLE'!$D$58:$D$64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TABLE'!$E$58:$E$64</c:f>
              <c:numCache>
                <c:formatCode>\₦0,\K</c:formatCode>
                <c:ptCount val="6"/>
                <c:pt idx="0">
                  <c:v>83857.142857142855</c:v>
                </c:pt>
                <c:pt idx="1">
                  <c:v>87333.333333333328</c:v>
                </c:pt>
                <c:pt idx="2">
                  <c:v>89384.61538461539</c:v>
                </c:pt>
                <c:pt idx="3">
                  <c:v>83571.428571428565</c:v>
                </c:pt>
                <c:pt idx="4">
                  <c:v>91636.363636363632</c:v>
                </c:pt>
                <c:pt idx="5">
                  <c:v>85762.711864406781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B-4F82-8154-31E839A7A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757039"/>
        <c:axId val="497762031"/>
      </c:lineChart>
      <c:catAx>
        <c:axId val="497757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762031"/>
        <c:crosses val="autoZero"/>
        <c:auto val="1"/>
        <c:lblAlgn val="ctr"/>
        <c:lblOffset val="100"/>
        <c:noMultiLvlLbl val="0"/>
      </c:catAx>
      <c:valAx>
        <c:axId val="497762031"/>
        <c:scaling>
          <c:orientation val="minMax"/>
        </c:scaling>
        <c:delete val="1"/>
        <c:axPos val="l"/>
        <c:numFmt formatCode="\₦0,\K" sourceLinked="1"/>
        <c:majorTickMark val="none"/>
        <c:minorTickMark val="none"/>
        <c:tickLblPos val="nextTo"/>
        <c:crossAx val="49775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[AeroLink_Airlines_Flight_Performance_Analysis clean data2.xlsx]PIVOT TABLE!PivotTable13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7F6AC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TABLE'!$E$71</c:f>
              <c:strCache>
                <c:ptCount val="1"/>
                <c:pt idx="0">
                  <c:v>Total</c:v>
                </c:pt>
              </c:strCache>
            </c:strRef>
          </c:tx>
          <c:spPr>
            <a:ln w="15875" cap="rnd">
              <a:solidFill>
                <a:srgbClr val="7F6AC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TABLE'!$D$72:$D$78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TABLE'!$E$72:$E$78</c:f>
              <c:numCache>
                <c:formatCode>General</c:formatCode>
                <c:ptCount val="6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3-498E-876F-C6BD3323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752767"/>
        <c:axId val="501761919"/>
      </c:lineChart>
      <c:catAx>
        <c:axId val="5017527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1761919"/>
        <c:crosses val="autoZero"/>
        <c:auto val="1"/>
        <c:lblAlgn val="ctr"/>
        <c:lblOffset val="100"/>
        <c:noMultiLvlLbl val="0"/>
      </c:catAx>
      <c:valAx>
        <c:axId val="501761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175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hyperlink" Target="#'DATA SET'!A1"/><Relationship Id="rId26" Type="http://schemas.openxmlformats.org/officeDocument/2006/relationships/chart" Target="../charts/chart8.xml"/><Relationship Id="rId3" Type="http://schemas.openxmlformats.org/officeDocument/2006/relationships/image" Target="../media/image3.png"/><Relationship Id="rId21" Type="http://schemas.openxmlformats.org/officeDocument/2006/relationships/chart" Target="../charts/chart3.xm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hyperlink" Target="#'PIVOT TABLE'!A1"/><Relationship Id="rId25" Type="http://schemas.openxmlformats.org/officeDocument/2006/relationships/chart" Target="../charts/chart7.xml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20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hart" Target="../charts/chart6.xml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chart" Target="../charts/chart5.xml"/><Relationship Id="rId28" Type="http://schemas.openxmlformats.org/officeDocument/2006/relationships/chart" Target="../charts/chart10.xml"/><Relationship Id="rId10" Type="http://schemas.openxmlformats.org/officeDocument/2006/relationships/image" Target="../media/image10.png"/><Relationship Id="rId19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chart" Target="../charts/chart4.xml"/><Relationship Id="rId27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0</xdr:row>
      <xdr:rowOff>133350</xdr:rowOff>
    </xdr:from>
    <xdr:to>
      <xdr:col>15</xdr:col>
      <xdr:colOff>539750</xdr:colOff>
      <xdr:row>34</xdr:row>
      <xdr:rowOff>25400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E2EEFD20-600D-B7F2-19F1-01A04EF81AC3}"/>
            </a:ext>
          </a:extLst>
        </xdr:cNvPr>
        <xdr:cNvGrpSpPr/>
      </xdr:nvGrpSpPr>
      <xdr:grpSpPr>
        <a:xfrm>
          <a:off x="539750" y="133350"/>
          <a:ext cx="9144000" cy="6153150"/>
          <a:chOff x="419100" y="133350"/>
          <a:chExt cx="9144000" cy="615315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0EDC566-6BB1-9ECF-FA76-B9E31BEF9D38}"/>
              </a:ext>
            </a:extLst>
          </xdr:cNvPr>
          <xdr:cNvSpPr/>
        </xdr:nvSpPr>
        <xdr:spPr>
          <a:xfrm>
            <a:off x="419100" y="133350"/>
            <a:ext cx="9144000" cy="6153150"/>
          </a:xfrm>
          <a:prstGeom prst="roundRect">
            <a:avLst>
              <a:gd name="adj" fmla="val 4455"/>
            </a:avLst>
          </a:prstGeom>
          <a:solidFill>
            <a:srgbClr val="28226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2BC4782-873C-9CAB-DA47-DDD625782CE9}"/>
              </a:ext>
            </a:extLst>
          </xdr:cNvPr>
          <xdr:cNvSpPr/>
        </xdr:nvSpPr>
        <xdr:spPr>
          <a:xfrm>
            <a:off x="1695450" y="139700"/>
            <a:ext cx="7863840" cy="6127750"/>
          </a:xfrm>
          <a:prstGeom prst="roundRect">
            <a:avLst>
              <a:gd name="adj" fmla="val 4455"/>
            </a:avLst>
          </a:prstGeom>
          <a:solidFill>
            <a:schemeClr val="bg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5D5218DB-F40C-812C-AB75-75519648B16B}"/>
              </a:ext>
            </a:extLst>
          </xdr:cNvPr>
          <xdr:cNvSpPr/>
        </xdr:nvSpPr>
        <xdr:spPr>
          <a:xfrm>
            <a:off x="1866900" y="787400"/>
            <a:ext cx="1362456" cy="1143000"/>
          </a:xfrm>
          <a:prstGeom prst="roundRect">
            <a:avLst>
              <a:gd name="adj" fmla="val 10907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185098B5-6E70-C270-0F92-19721888476D}"/>
              </a:ext>
            </a:extLst>
          </xdr:cNvPr>
          <xdr:cNvSpPr/>
        </xdr:nvSpPr>
        <xdr:spPr>
          <a:xfrm>
            <a:off x="3419475" y="787400"/>
            <a:ext cx="1362456" cy="1143000"/>
          </a:xfrm>
          <a:prstGeom prst="roundRect">
            <a:avLst>
              <a:gd name="adj" fmla="val 10907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C11CBF81-5847-C087-2808-30450692DAE8}"/>
              </a:ext>
            </a:extLst>
          </xdr:cNvPr>
          <xdr:cNvSpPr/>
        </xdr:nvSpPr>
        <xdr:spPr>
          <a:xfrm>
            <a:off x="4946650" y="787400"/>
            <a:ext cx="1362456" cy="1143000"/>
          </a:xfrm>
          <a:prstGeom prst="roundRect">
            <a:avLst>
              <a:gd name="adj" fmla="val 10907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BF29C7DB-9E8C-4C0E-CF8E-AD1447EDB03D}"/>
              </a:ext>
            </a:extLst>
          </xdr:cNvPr>
          <xdr:cNvSpPr/>
        </xdr:nvSpPr>
        <xdr:spPr>
          <a:xfrm>
            <a:off x="6473825" y="806450"/>
            <a:ext cx="1362456" cy="1143000"/>
          </a:xfrm>
          <a:prstGeom prst="roundRect">
            <a:avLst>
              <a:gd name="adj" fmla="val 10907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2A046E2E-E374-A4D2-8B97-B75E32D61487}"/>
              </a:ext>
            </a:extLst>
          </xdr:cNvPr>
          <xdr:cNvSpPr/>
        </xdr:nvSpPr>
        <xdr:spPr>
          <a:xfrm>
            <a:off x="8001000" y="787400"/>
            <a:ext cx="1362456" cy="1143000"/>
          </a:xfrm>
          <a:prstGeom prst="roundRect">
            <a:avLst>
              <a:gd name="adj" fmla="val 10907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451FE4B6-9E6F-4297-4FF1-BE5E7A16ABF6}"/>
              </a:ext>
            </a:extLst>
          </xdr:cNvPr>
          <xdr:cNvSpPr/>
        </xdr:nvSpPr>
        <xdr:spPr>
          <a:xfrm>
            <a:off x="1860550" y="2044700"/>
            <a:ext cx="2946400" cy="1920240"/>
          </a:xfrm>
          <a:prstGeom prst="roundRect">
            <a:avLst>
              <a:gd name="adj" fmla="val 8262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5F304BDD-C71D-D6B5-090A-EC409106F70E}"/>
              </a:ext>
            </a:extLst>
          </xdr:cNvPr>
          <xdr:cNvSpPr/>
        </xdr:nvSpPr>
        <xdr:spPr>
          <a:xfrm>
            <a:off x="4972050" y="2038350"/>
            <a:ext cx="4387850" cy="1920240"/>
          </a:xfrm>
          <a:prstGeom prst="roundRect">
            <a:avLst>
              <a:gd name="adj" fmla="val 8262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C757DC8F-483A-022D-5122-46097154D146}"/>
              </a:ext>
            </a:extLst>
          </xdr:cNvPr>
          <xdr:cNvSpPr/>
        </xdr:nvSpPr>
        <xdr:spPr>
          <a:xfrm>
            <a:off x="1879600" y="4146550"/>
            <a:ext cx="2946400" cy="1920240"/>
          </a:xfrm>
          <a:prstGeom prst="roundRect">
            <a:avLst>
              <a:gd name="adj" fmla="val 8262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7D54A39D-7E52-B831-B211-DE378D9A3E45}"/>
              </a:ext>
            </a:extLst>
          </xdr:cNvPr>
          <xdr:cNvSpPr/>
        </xdr:nvSpPr>
        <xdr:spPr>
          <a:xfrm>
            <a:off x="4991100" y="4165600"/>
            <a:ext cx="2127250" cy="1920240"/>
          </a:xfrm>
          <a:prstGeom prst="roundRect">
            <a:avLst>
              <a:gd name="adj" fmla="val 8262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B2E15B39-0F73-076F-E28F-68DBDE06DF87}"/>
              </a:ext>
            </a:extLst>
          </xdr:cNvPr>
          <xdr:cNvSpPr/>
        </xdr:nvSpPr>
        <xdr:spPr>
          <a:xfrm>
            <a:off x="7270750" y="4152900"/>
            <a:ext cx="2127250" cy="1920240"/>
          </a:xfrm>
          <a:prstGeom prst="roundRect">
            <a:avLst>
              <a:gd name="adj" fmla="val 8262"/>
            </a:avLst>
          </a:prstGeom>
          <a:solidFill>
            <a:schemeClr val="bg1"/>
          </a:solidFill>
          <a:ln w="952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285750</xdr:colOff>
      <xdr:row>1</xdr:row>
      <xdr:rowOff>171450</xdr:rowOff>
    </xdr:from>
    <xdr:to>
      <xdr:col>2</xdr:col>
      <xdr:colOff>222250</xdr:colOff>
      <xdr:row>4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87E4B34-B457-7617-0CA4-478C6E6A92CF}"/>
            </a:ext>
          </a:extLst>
        </xdr:cNvPr>
        <xdr:cNvSpPr/>
      </xdr:nvSpPr>
      <xdr:spPr>
        <a:xfrm>
          <a:off x="895350" y="355600"/>
          <a:ext cx="546100" cy="4953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381003</xdr:colOff>
      <xdr:row>2</xdr:row>
      <xdr:rowOff>63496</xdr:rowOff>
    </xdr:from>
    <xdr:to>
      <xdr:col>2</xdr:col>
      <xdr:colOff>127007</xdr:colOff>
      <xdr:row>4</xdr:row>
      <xdr:rowOff>50800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23CA67C-0885-83B9-3DBB-BC6CF8B1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990603" y="431796"/>
          <a:ext cx="355604" cy="355604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8</xdr:row>
      <xdr:rowOff>139699</xdr:rowOff>
    </xdr:from>
    <xdr:to>
      <xdr:col>1</xdr:col>
      <xdr:colOff>190500</xdr:colOff>
      <xdr:row>9</xdr:row>
      <xdr:rowOff>114299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343D7A1-7BF0-237F-66EB-899C88D9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641350" y="1612899"/>
          <a:ext cx="158750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590551</xdr:colOff>
      <xdr:row>10</xdr:row>
      <xdr:rowOff>63501</xdr:rowOff>
    </xdr:from>
    <xdr:to>
      <xdr:col>1</xdr:col>
      <xdr:colOff>247650</xdr:colOff>
      <xdr:row>11</xdr:row>
      <xdr:rowOff>146050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E517D9E-6014-EA07-C88C-93A2C44B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1" y="1905001"/>
          <a:ext cx="266699" cy="2666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12</xdr:row>
      <xdr:rowOff>95251</xdr:rowOff>
    </xdr:from>
    <xdr:to>
      <xdr:col>1</xdr:col>
      <xdr:colOff>228600</xdr:colOff>
      <xdr:row>13</xdr:row>
      <xdr:rowOff>120650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40B8CA3-7A00-C7C9-7A7E-7456007C1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1" y="2305051"/>
          <a:ext cx="209549" cy="209549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14</xdr:row>
      <xdr:rowOff>50801</xdr:rowOff>
    </xdr:from>
    <xdr:to>
      <xdr:col>1</xdr:col>
      <xdr:colOff>292100</xdr:colOff>
      <xdr:row>15</xdr:row>
      <xdr:rowOff>152400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58AB53A-EA93-5D62-F906-6BACF40B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1" y="2628901"/>
          <a:ext cx="285749" cy="285749"/>
        </a:xfrm>
        <a:prstGeom prst="rect">
          <a:avLst/>
        </a:prstGeom>
      </xdr:spPr>
    </xdr:pic>
    <xdr:clientData/>
  </xdr:twoCellAnchor>
  <xdr:twoCellAnchor>
    <xdr:from>
      <xdr:col>0</xdr:col>
      <xdr:colOff>565150</xdr:colOff>
      <xdr:row>8</xdr:row>
      <xdr:rowOff>57150</xdr:rowOff>
    </xdr:from>
    <xdr:to>
      <xdr:col>0</xdr:col>
      <xdr:colOff>565150</xdr:colOff>
      <xdr:row>10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F387A1C-F14E-8EFE-D7C7-83CF27323815}"/>
            </a:ext>
          </a:extLst>
        </xdr:cNvPr>
        <xdr:cNvCxnSpPr/>
      </xdr:nvCxnSpPr>
      <xdr:spPr>
        <a:xfrm>
          <a:off x="565150" y="1530350"/>
          <a:ext cx="0" cy="330200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8751</xdr:colOff>
      <xdr:row>23</xdr:row>
      <xdr:rowOff>177803</xdr:rowOff>
    </xdr:from>
    <xdr:to>
      <xdr:col>1</xdr:col>
      <xdr:colOff>266700</xdr:colOff>
      <xdr:row>25</xdr:row>
      <xdr:rowOff>20217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AB4AD2F-5E17-FF83-F589-03E1EE168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51" y="4413253"/>
          <a:ext cx="257949" cy="210714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603252</xdr:colOff>
      <xdr:row>20</xdr:row>
      <xdr:rowOff>6350</xdr:rowOff>
    </xdr:from>
    <xdr:to>
      <xdr:col>1</xdr:col>
      <xdr:colOff>266994</xdr:colOff>
      <xdr:row>21</xdr:row>
      <xdr:rowOff>82550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8CE44CB-8E12-8B25-F726-7274B4A2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2" y="3689350"/>
          <a:ext cx="273342" cy="260350"/>
        </a:xfrm>
        <a:prstGeom prst="rect">
          <a:avLst/>
        </a:prstGeom>
      </xdr:spPr>
    </xdr:pic>
    <xdr:clientData/>
  </xdr:twoCellAnchor>
  <xdr:twoCellAnchor editAs="oneCell">
    <xdr:from>
      <xdr:col>0</xdr:col>
      <xdr:colOff>609599</xdr:colOff>
      <xdr:row>21</xdr:row>
      <xdr:rowOff>173002</xdr:rowOff>
    </xdr:from>
    <xdr:to>
      <xdr:col>1</xdr:col>
      <xdr:colOff>293490</xdr:colOff>
      <xdr:row>23</xdr:row>
      <xdr:rowOff>44450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764AA86-0626-A40B-F253-882B7084D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9" y="4040152"/>
          <a:ext cx="293491" cy="23974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165101</xdr:rowOff>
    </xdr:from>
    <xdr:to>
      <xdr:col>1</xdr:col>
      <xdr:colOff>285750</xdr:colOff>
      <xdr:row>29</xdr:row>
      <xdr:rowOff>82550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CDEE73F-EC03-DE74-D97A-3C27CFAE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5137151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0</xdr:col>
      <xdr:colOff>588151</xdr:colOff>
      <xdr:row>30</xdr:row>
      <xdr:rowOff>10301</xdr:rowOff>
    </xdr:from>
    <xdr:to>
      <xdr:col>1</xdr:col>
      <xdr:colOff>323850</xdr:colOff>
      <xdr:row>31</xdr:row>
      <xdr:rowOff>114300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BE69145E-C628-442B-DD2F-31801A33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51" y="5534801"/>
          <a:ext cx="345299" cy="288149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6</xdr:row>
      <xdr:rowOff>82550</xdr:rowOff>
    </xdr:from>
    <xdr:to>
      <xdr:col>5</xdr:col>
      <xdr:colOff>66699</xdr:colOff>
      <xdr:row>7</xdr:row>
      <xdr:rowOff>174649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C99AE3EF-8E13-0194-1A16-A47273B5E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187450"/>
          <a:ext cx="276249" cy="276249"/>
        </a:xfrm>
        <a:prstGeom prst="rect">
          <a:avLst/>
        </a:prstGeom>
      </xdr:spPr>
    </xdr:pic>
    <xdr:clientData/>
  </xdr:twoCellAnchor>
  <xdr:twoCellAnchor editAs="oneCell">
    <xdr:from>
      <xdr:col>7</xdr:col>
      <xdr:colOff>175400</xdr:colOff>
      <xdr:row>6</xdr:row>
      <xdr:rowOff>92850</xdr:rowOff>
    </xdr:from>
    <xdr:to>
      <xdr:col>7</xdr:col>
      <xdr:colOff>369099</xdr:colOff>
      <xdr:row>7</xdr:row>
      <xdr:rowOff>102399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1FCA44E1-DB0D-2E56-2E99-71F7AD5F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2600" y="1197750"/>
          <a:ext cx="193699" cy="193699"/>
        </a:xfrm>
        <a:prstGeom prst="rect">
          <a:avLst/>
        </a:prstGeom>
      </xdr:spPr>
    </xdr:pic>
    <xdr:clientData/>
  </xdr:twoCellAnchor>
  <xdr:twoCellAnchor editAs="oneCell">
    <xdr:from>
      <xdr:col>9</xdr:col>
      <xdr:colOff>490500</xdr:colOff>
      <xdr:row>6</xdr:row>
      <xdr:rowOff>65050</xdr:rowOff>
    </xdr:from>
    <xdr:to>
      <xdr:col>10</xdr:col>
      <xdr:colOff>120577</xdr:colOff>
      <xdr:row>7</xdr:row>
      <xdr:rowOff>120577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EC23CF5A-C082-944E-AF59-A1948223C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6900" y="1169950"/>
          <a:ext cx="239677" cy="239677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227750</xdr:colOff>
      <xdr:row>6</xdr:row>
      <xdr:rowOff>62650</xdr:rowOff>
    </xdr:from>
    <xdr:to>
      <xdr:col>12</xdr:col>
      <xdr:colOff>421449</xdr:colOff>
      <xdr:row>7</xdr:row>
      <xdr:rowOff>72199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6C01139-5D16-3C03-E471-14E3F4156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2950" y="1167550"/>
          <a:ext cx="193699" cy="193699"/>
        </a:xfrm>
        <a:prstGeom prst="rect">
          <a:avLst/>
        </a:prstGeom>
      </xdr:spPr>
    </xdr:pic>
    <xdr:clientData/>
  </xdr:twoCellAnchor>
  <xdr:twoCellAnchor editAs="oneCell">
    <xdr:from>
      <xdr:col>14</xdr:col>
      <xdr:colOff>504751</xdr:colOff>
      <xdr:row>6</xdr:row>
      <xdr:rowOff>66601</xdr:rowOff>
    </xdr:from>
    <xdr:to>
      <xdr:col>15</xdr:col>
      <xdr:colOff>88901</xdr:colOff>
      <xdr:row>7</xdr:row>
      <xdr:rowOff>76201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68B82DDC-DAF7-8AC1-08DE-8162E6BA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151" y="1171501"/>
          <a:ext cx="193750" cy="193750"/>
        </a:xfrm>
        <a:prstGeom prst="rect">
          <a:avLst/>
        </a:prstGeom>
      </xdr:spPr>
    </xdr:pic>
    <xdr:clientData/>
  </xdr:twoCellAnchor>
  <xdr:twoCellAnchor>
    <xdr:from>
      <xdr:col>0</xdr:col>
      <xdr:colOff>577850</xdr:colOff>
      <xdr:row>4</xdr:row>
      <xdr:rowOff>165100</xdr:rowOff>
    </xdr:from>
    <xdr:to>
      <xdr:col>2</xdr:col>
      <xdr:colOff>539750</xdr:colOff>
      <xdr:row>7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55A735-544F-C274-2678-BBF3252175EB}"/>
            </a:ext>
          </a:extLst>
        </xdr:cNvPr>
        <xdr:cNvSpPr txBox="1"/>
      </xdr:nvSpPr>
      <xdr:spPr>
        <a:xfrm>
          <a:off x="577850" y="9017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/>
              </a:solidFill>
            </a:rPr>
            <a:t>AeroLink Airlines</a:t>
          </a:r>
        </a:p>
      </xdr:txBody>
    </xdr:sp>
    <xdr:clientData/>
  </xdr:twoCellAnchor>
  <xdr:twoCellAnchor>
    <xdr:from>
      <xdr:col>1</xdr:col>
      <xdr:colOff>177800</xdr:colOff>
      <xdr:row>8</xdr:row>
      <xdr:rowOff>76200</xdr:rowOff>
    </xdr:from>
    <xdr:to>
      <xdr:col>3</xdr:col>
      <xdr:colOff>139700</xdr:colOff>
      <xdr:row>11</xdr:row>
      <xdr:rowOff>0</xdr:rowOff>
    </xdr:to>
    <xdr:sp macro="" textlink="">
      <xdr:nvSpPr>
        <xdr:cNvPr id="44" name="TextBox 4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65CBD8D-3748-63D5-A2C4-24D884441738}"/>
            </a:ext>
          </a:extLst>
        </xdr:cNvPr>
        <xdr:cNvSpPr txBox="1"/>
      </xdr:nvSpPr>
      <xdr:spPr>
        <a:xfrm>
          <a:off x="787400" y="15494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/>
              </a:solidFill>
            </a:rPr>
            <a:t>Dashboard</a:t>
          </a: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165100</xdr:colOff>
      <xdr:row>10</xdr:row>
      <xdr:rowOff>95250</xdr:rowOff>
    </xdr:from>
    <xdr:to>
      <xdr:col>3</xdr:col>
      <xdr:colOff>127000</xdr:colOff>
      <xdr:row>13</xdr:row>
      <xdr:rowOff>19050</xdr:rowOff>
    </xdr:to>
    <xdr:sp macro="" textlink="">
      <xdr:nvSpPr>
        <xdr:cNvPr id="45" name="TextBox 4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6244C43-1978-4F58-EA02-3956368EAE6A}"/>
            </a:ext>
          </a:extLst>
        </xdr:cNvPr>
        <xdr:cNvSpPr txBox="1"/>
      </xdr:nvSpPr>
      <xdr:spPr>
        <a:xfrm>
          <a:off x="774700" y="193675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2"/>
              </a:solidFill>
            </a:rPr>
            <a:t>Pivot</a:t>
          </a:r>
          <a:r>
            <a:rPr lang="en-US" sz="1100" baseline="0">
              <a:solidFill>
                <a:schemeClr val="bg2"/>
              </a:solidFill>
            </a:rPr>
            <a:t> Tables</a:t>
          </a: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222250</xdr:colOff>
      <xdr:row>12</xdr:row>
      <xdr:rowOff>63500</xdr:rowOff>
    </xdr:from>
    <xdr:to>
      <xdr:col>3</xdr:col>
      <xdr:colOff>184150</xdr:colOff>
      <xdr:row>14</xdr:row>
      <xdr:rowOff>171450</xdr:rowOff>
    </xdr:to>
    <xdr:sp macro="" textlink="">
      <xdr:nvSpPr>
        <xdr:cNvPr id="46" name="TextBox 4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41EC96C-B8BC-EE08-3DF0-DDB876484161}"/>
            </a:ext>
          </a:extLst>
        </xdr:cNvPr>
        <xdr:cNvSpPr txBox="1"/>
      </xdr:nvSpPr>
      <xdr:spPr>
        <a:xfrm>
          <a:off x="831850" y="22733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Dataset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215900</xdr:colOff>
      <xdr:row>14</xdr:row>
      <xdr:rowOff>82550</xdr:rowOff>
    </xdr:from>
    <xdr:to>
      <xdr:col>3</xdr:col>
      <xdr:colOff>177800</xdr:colOff>
      <xdr:row>17</xdr:row>
      <xdr:rowOff>6350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203310C-2099-DC28-7E90-F5817D65533B}"/>
            </a:ext>
          </a:extLst>
        </xdr:cNvPr>
        <xdr:cNvSpPr txBox="1"/>
      </xdr:nvSpPr>
      <xdr:spPr>
        <a:xfrm>
          <a:off x="825500" y="266065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Summary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146050</xdr:colOff>
      <xdr:row>17</xdr:row>
      <xdr:rowOff>158750</xdr:rowOff>
    </xdr:from>
    <xdr:to>
      <xdr:col>3</xdr:col>
      <xdr:colOff>107950</xdr:colOff>
      <xdr:row>20</xdr:row>
      <xdr:rowOff>82550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B710E3C-E1D7-8633-0470-CE935D64F0E1}"/>
            </a:ext>
          </a:extLst>
        </xdr:cNvPr>
        <xdr:cNvSpPr txBox="1"/>
      </xdr:nvSpPr>
      <xdr:spPr>
        <a:xfrm>
          <a:off x="755650" y="32893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Connect here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215900</xdr:colOff>
      <xdr:row>20</xdr:row>
      <xdr:rowOff>25400</xdr:rowOff>
    </xdr:from>
    <xdr:to>
      <xdr:col>3</xdr:col>
      <xdr:colOff>177800</xdr:colOff>
      <xdr:row>22</xdr:row>
      <xdr:rowOff>133350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53DBF2-5951-B6A3-A138-4E66CE63741A}"/>
            </a:ext>
          </a:extLst>
        </xdr:cNvPr>
        <xdr:cNvSpPr txBox="1"/>
      </xdr:nvSpPr>
      <xdr:spPr>
        <a:xfrm>
          <a:off x="825500" y="37084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Linkedin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209550</xdr:colOff>
      <xdr:row>21</xdr:row>
      <xdr:rowOff>152400</xdr:rowOff>
    </xdr:from>
    <xdr:to>
      <xdr:col>3</xdr:col>
      <xdr:colOff>171450</xdr:colOff>
      <xdr:row>24</xdr:row>
      <xdr:rowOff>76200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E76DBC9-418D-1556-9A23-6F0217E501B9}"/>
            </a:ext>
          </a:extLst>
        </xdr:cNvPr>
        <xdr:cNvSpPr txBox="1"/>
      </xdr:nvSpPr>
      <xdr:spPr>
        <a:xfrm>
          <a:off x="819150" y="401955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/>
              </a:solidFill>
              <a:latin typeface="Arial Black" panose="020B0A04020102020204" pitchFamily="34" charset="0"/>
            </a:rPr>
            <a:t>X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184150</xdr:colOff>
      <xdr:row>23</xdr:row>
      <xdr:rowOff>146050</xdr:rowOff>
    </xdr:from>
    <xdr:to>
      <xdr:col>3</xdr:col>
      <xdr:colOff>146050</xdr:colOff>
      <xdr:row>26</xdr:row>
      <xdr:rowOff>69850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C63F7B5-77A8-2443-A975-0C7AC1F3C288}"/>
            </a:ext>
          </a:extLst>
        </xdr:cNvPr>
        <xdr:cNvSpPr txBox="1"/>
      </xdr:nvSpPr>
      <xdr:spPr>
        <a:xfrm>
          <a:off x="793750" y="43815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Instagram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279400</xdr:colOff>
      <xdr:row>28</xdr:row>
      <xdr:rowOff>6350</xdr:rowOff>
    </xdr:from>
    <xdr:to>
      <xdr:col>3</xdr:col>
      <xdr:colOff>241300</xdr:colOff>
      <xdr:row>30</xdr:row>
      <xdr:rowOff>114300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D594022-DB06-268E-9E23-49FF81A866C1}"/>
            </a:ext>
          </a:extLst>
        </xdr:cNvPr>
        <xdr:cNvSpPr txBox="1"/>
      </xdr:nvSpPr>
      <xdr:spPr>
        <a:xfrm>
          <a:off x="889000" y="516255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Help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279400</xdr:colOff>
      <xdr:row>30</xdr:row>
      <xdr:rowOff>76200</xdr:rowOff>
    </xdr:from>
    <xdr:to>
      <xdr:col>3</xdr:col>
      <xdr:colOff>241300</xdr:colOff>
      <xdr:row>33</xdr:row>
      <xdr:rowOff>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8421EFF-4D0C-70F3-0694-2F35B2824DFA}"/>
            </a:ext>
          </a:extLst>
        </xdr:cNvPr>
        <xdr:cNvSpPr txBox="1"/>
      </xdr:nvSpPr>
      <xdr:spPr>
        <a:xfrm>
          <a:off x="889000" y="5600700"/>
          <a:ext cx="11811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2"/>
              </a:solidFill>
            </a:rPr>
            <a:t>Logout</a:t>
          </a: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 baseline="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  <a:p>
          <a:endParaRPr lang="en-US" sz="1100">
            <a:solidFill>
              <a:schemeClr val="bg2"/>
            </a:solidFill>
          </a:endParaRPr>
        </a:p>
      </xdr:txBody>
    </xdr:sp>
    <xdr:clientData/>
  </xdr:twoCellAnchor>
  <xdr:twoCellAnchor>
    <xdr:from>
      <xdr:col>3</xdr:col>
      <xdr:colOff>190500</xdr:colOff>
      <xdr:row>4</xdr:row>
      <xdr:rowOff>146050</xdr:rowOff>
    </xdr:from>
    <xdr:to>
      <xdr:col>5</xdr:col>
      <xdr:colOff>215900</xdr:colOff>
      <xdr:row>7</xdr:row>
      <xdr:rowOff>139700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7703D36-3558-3E0C-8040-ACA37B88E141}"/>
            </a:ext>
          </a:extLst>
        </xdr:cNvPr>
        <xdr:cNvSpPr txBox="1"/>
      </xdr:nvSpPr>
      <xdr:spPr>
        <a:xfrm>
          <a:off x="2019300" y="88265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7F6AC1"/>
              </a:solidFill>
              <a:latin typeface="+mn-lt"/>
            </a:rPr>
            <a:t>Total</a:t>
          </a:r>
          <a:r>
            <a:rPr lang="en-US" sz="1200" b="1" baseline="0">
              <a:solidFill>
                <a:srgbClr val="7F6AC1"/>
              </a:solidFill>
              <a:latin typeface="+mn-lt"/>
            </a:rPr>
            <a:t> Revenue</a:t>
          </a:r>
          <a:endParaRPr lang="en-US" sz="1200" b="1">
            <a:solidFill>
              <a:srgbClr val="7F6AC1"/>
            </a:solidFill>
            <a:latin typeface="+mn-lt"/>
          </a:endParaRPr>
        </a:p>
        <a:p>
          <a:endParaRPr lang="en-US" sz="1100">
            <a:solidFill>
              <a:srgbClr val="7F6AC1"/>
            </a:solidFill>
            <a:latin typeface="+mn-lt"/>
          </a:endParaRPr>
        </a:p>
      </xdr:txBody>
    </xdr:sp>
    <xdr:clientData/>
  </xdr:twoCellAnchor>
  <xdr:twoCellAnchor>
    <xdr:from>
      <xdr:col>5</xdr:col>
      <xdr:colOff>508000</xdr:colOff>
      <xdr:row>4</xdr:row>
      <xdr:rowOff>127000</xdr:rowOff>
    </xdr:from>
    <xdr:to>
      <xdr:col>7</xdr:col>
      <xdr:colOff>533400</xdr:colOff>
      <xdr:row>7</xdr:row>
      <xdr:rowOff>120650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95364C7-24B0-37D1-2DE0-5FCDD4638DB0}"/>
            </a:ext>
          </a:extLst>
        </xdr:cNvPr>
        <xdr:cNvSpPr txBox="1"/>
      </xdr:nvSpPr>
      <xdr:spPr>
        <a:xfrm>
          <a:off x="3556000" y="86360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7F6AC1"/>
              </a:solidFill>
            </a:rPr>
            <a:t>Total</a:t>
          </a:r>
          <a:r>
            <a:rPr lang="en-US" sz="1200" b="1" baseline="0">
              <a:solidFill>
                <a:srgbClr val="7F6AC1"/>
              </a:solidFill>
            </a:rPr>
            <a:t> Passengers</a:t>
          </a:r>
          <a:endParaRPr lang="en-US" sz="1200" b="1">
            <a:solidFill>
              <a:srgbClr val="7F6AC1"/>
            </a:solidFill>
          </a:endParaRPr>
        </a:p>
        <a:p>
          <a:endParaRPr lang="en-US" sz="1100">
            <a:solidFill>
              <a:srgbClr val="7F6AC1"/>
            </a:solidFill>
          </a:endParaRPr>
        </a:p>
      </xdr:txBody>
    </xdr:sp>
    <xdr:clientData/>
  </xdr:twoCellAnchor>
  <xdr:twoCellAnchor>
    <xdr:from>
      <xdr:col>8</xdr:col>
      <xdr:colOff>266700</xdr:colOff>
      <xdr:row>4</xdr:row>
      <xdr:rowOff>127000</xdr:rowOff>
    </xdr:from>
    <xdr:to>
      <xdr:col>10</xdr:col>
      <xdr:colOff>292100</xdr:colOff>
      <xdr:row>7</xdr:row>
      <xdr:rowOff>120650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E28FF4B9-BE0A-BBC7-1316-A2E499F5B5DF}"/>
            </a:ext>
          </a:extLst>
        </xdr:cNvPr>
        <xdr:cNvSpPr txBox="1"/>
      </xdr:nvSpPr>
      <xdr:spPr>
        <a:xfrm>
          <a:off x="5143500" y="86360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7F6AC1"/>
              </a:solidFill>
            </a:rPr>
            <a:t>Total</a:t>
          </a:r>
          <a:r>
            <a:rPr lang="en-US" sz="1200" b="1" baseline="0">
              <a:solidFill>
                <a:srgbClr val="7F6AC1"/>
              </a:solidFill>
            </a:rPr>
            <a:t> Flights</a:t>
          </a:r>
          <a:endParaRPr lang="en-US" sz="1200" b="1">
            <a:solidFill>
              <a:srgbClr val="7F6AC1"/>
            </a:solidFill>
          </a:endParaRPr>
        </a:p>
        <a:p>
          <a:endParaRPr lang="en-US" sz="1100">
            <a:solidFill>
              <a:srgbClr val="7F6AC1"/>
            </a:solidFill>
          </a:endParaRPr>
        </a:p>
      </xdr:txBody>
    </xdr:sp>
    <xdr:clientData/>
  </xdr:twoCellAnchor>
  <xdr:twoCellAnchor>
    <xdr:from>
      <xdr:col>10</xdr:col>
      <xdr:colOff>552450</xdr:colOff>
      <xdr:row>4</xdr:row>
      <xdr:rowOff>133350</xdr:rowOff>
    </xdr:from>
    <xdr:to>
      <xdr:col>13</xdr:col>
      <xdr:colOff>133350</xdr:colOff>
      <xdr:row>6</xdr:row>
      <xdr:rowOff>57150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048D8A5-FECF-DF7D-22E4-6695B67F980B}"/>
            </a:ext>
          </a:extLst>
        </xdr:cNvPr>
        <xdr:cNvSpPr txBox="1"/>
      </xdr:nvSpPr>
      <xdr:spPr>
        <a:xfrm>
          <a:off x="6648450" y="869950"/>
          <a:ext cx="14097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7F6AC1"/>
              </a:solidFill>
            </a:rPr>
            <a:t>Average</a:t>
          </a:r>
          <a:r>
            <a:rPr lang="en-US" sz="1200" b="1" baseline="0">
              <a:solidFill>
                <a:srgbClr val="7F6AC1"/>
              </a:solidFill>
            </a:rPr>
            <a:t> Ticket (</a:t>
          </a:r>
          <a:r>
            <a:rPr lang="en-US" sz="1100" b="0" i="0" u="none" strike="noStrike">
              <a:solidFill>
                <a:srgbClr val="7F6AC1"/>
              </a:solidFill>
              <a:effectLst/>
              <a:latin typeface="+mn-lt"/>
              <a:ea typeface="+mn-ea"/>
              <a:cs typeface="+mn-cs"/>
            </a:rPr>
            <a:t>₦</a:t>
          </a:r>
          <a:r>
            <a:rPr lang="en-US" sz="1100" b="1" i="0" u="none" strike="noStrike">
              <a:solidFill>
                <a:srgbClr val="7F6AC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sz="1200" b="1">
            <a:solidFill>
              <a:srgbClr val="7F6AC1"/>
            </a:solidFill>
          </a:endParaRPr>
        </a:p>
        <a:p>
          <a:endParaRPr lang="en-US" sz="1100">
            <a:solidFill>
              <a:srgbClr val="7F6AC1"/>
            </a:solidFill>
          </a:endParaRPr>
        </a:p>
      </xdr:txBody>
    </xdr:sp>
    <xdr:clientData/>
  </xdr:twoCellAnchor>
  <xdr:twoCellAnchor>
    <xdr:from>
      <xdr:col>13</xdr:col>
      <xdr:colOff>203200</xdr:colOff>
      <xdr:row>4</xdr:row>
      <xdr:rowOff>127000</xdr:rowOff>
    </xdr:from>
    <xdr:to>
      <xdr:col>15</xdr:col>
      <xdr:colOff>228600</xdr:colOff>
      <xdr:row>7</xdr:row>
      <xdr:rowOff>120650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BA18289-C31A-E28C-3C95-760C22F2AD27}"/>
            </a:ext>
          </a:extLst>
        </xdr:cNvPr>
        <xdr:cNvSpPr txBox="1"/>
      </xdr:nvSpPr>
      <xdr:spPr>
        <a:xfrm>
          <a:off x="8128000" y="86360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7F6AC1"/>
              </a:solidFill>
            </a:rPr>
            <a:t>%</a:t>
          </a:r>
          <a:r>
            <a:rPr lang="en-US" sz="1200" b="1" baseline="0">
              <a:solidFill>
                <a:srgbClr val="7F6AC1"/>
              </a:solidFill>
            </a:rPr>
            <a:t> of On-Time</a:t>
          </a:r>
        </a:p>
        <a:p>
          <a:endParaRPr lang="en-US" sz="1200" b="1">
            <a:solidFill>
              <a:srgbClr val="7F6AC1"/>
            </a:solidFill>
          </a:endParaRPr>
        </a:p>
        <a:p>
          <a:endParaRPr lang="en-US" sz="1100">
            <a:solidFill>
              <a:srgbClr val="7F6AC1"/>
            </a:solidFill>
          </a:endParaRPr>
        </a:p>
      </xdr:txBody>
    </xdr:sp>
    <xdr:clientData/>
  </xdr:twoCellAnchor>
  <xdr:twoCellAnchor>
    <xdr:from>
      <xdr:col>3</xdr:col>
      <xdr:colOff>25400</xdr:colOff>
      <xdr:row>0</xdr:row>
      <xdr:rowOff>165100</xdr:rowOff>
    </xdr:from>
    <xdr:to>
      <xdr:col>5</xdr:col>
      <xdr:colOff>508000</xdr:colOff>
      <xdr:row>3</xdr:row>
      <xdr:rowOff>158750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0650025-0465-E9D6-97FB-4C73BCAAB765}"/>
            </a:ext>
          </a:extLst>
        </xdr:cNvPr>
        <xdr:cNvSpPr txBox="1"/>
      </xdr:nvSpPr>
      <xdr:spPr>
        <a:xfrm>
          <a:off x="1854200" y="165100"/>
          <a:ext cx="17018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7F6AC1"/>
              </a:solidFill>
              <a:latin typeface="+mn-lt"/>
            </a:rPr>
            <a:t>Welcome</a:t>
          </a:r>
          <a:r>
            <a:rPr lang="en-US" sz="1600" b="1" baseline="0">
              <a:solidFill>
                <a:srgbClr val="7F6AC1"/>
              </a:solidFill>
              <a:latin typeface="+mn-lt"/>
            </a:rPr>
            <a:t> Chris!</a:t>
          </a:r>
          <a:endParaRPr lang="en-US" sz="1600" b="1">
            <a:solidFill>
              <a:srgbClr val="7F6AC1"/>
            </a:solidFill>
            <a:latin typeface="+mn-lt"/>
          </a:endParaRPr>
        </a:p>
        <a:p>
          <a:endParaRPr lang="en-US" sz="1400">
            <a:solidFill>
              <a:srgbClr val="7F6AC1"/>
            </a:solidFill>
            <a:latin typeface="+mn-lt"/>
          </a:endParaRPr>
        </a:p>
      </xdr:txBody>
    </xdr:sp>
    <xdr:clientData/>
  </xdr:twoCellAnchor>
  <xdr:twoCellAnchor>
    <xdr:from>
      <xdr:col>3</xdr:col>
      <xdr:colOff>19050</xdr:colOff>
      <xdr:row>2</xdr:row>
      <xdr:rowOff>101600</xdr:rowOff>
    </xdr:from>
    <xdr:to>
      <xdr:col>9</xdr:col>
      <xdr:colOff>539750</xdr:colOff>
      <xdr:row>5</xdr:row>
      <xdr:rowOff>95250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567C7D0F-D390-2CEA-F069-1E4CE380E76E}"/>
            </a:ext>
          </a:extLst>
        </xdr:cNvPr>
        <xdr:cNvSpPr txBox="1"/>
      </xdr:nvSpPr>
      <xdr:spPr>
        <a:xfrm>
          <a:off x="1847850" y="469900"/>
          <a:ext cx="41783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rgbClr val="7F6AC1"/>
              </a:solidFill>
              <a:latin typeface="+mn-lt"/>
            </a:rPr>
            <a:t>Operational</a:t>
          </a:r>
          <a:r>
            <a:rPr lang="en-US" sz="1000" b="1" baseline="0">
              <a:solidFill>
                <a:srgbClr val="7F6AC1"/>
              </a:solidFill>
              <a:latin typeface="+mn-lt"/>
            </a:rPr>
            <a:t> Efficiency,Passenger and Revenue insights (Jan-Jun 2025)</a:t>
          </a:r>
          <a:endParaRPr lang="en-US" sz="1000" b="1">
            <a:solidFill>
              <a:srgbClr val="7F6AC1"/>
            </a:solidFill>
            <a:latin typeface="+mn-lt"/>
          </a:endParaRPr>
        </a:p>
        <a:p>
          <a:endParaRPr lang="en-US" sz="1000">
            <a:solidFill>
              <a:srgbClr val="7F6AC1"/>
            </a:solidFill>
            <a:latin typeface="+mn-lt"/>
          </a:endParaRPr>
        </a:p>
      </xdr:txBody>
    </xdr:sp>
    <xdr:clientData/>
  </xdr:twoCellAnchor>
  <xdr:twoCellAnchor>
    <xdr:from>
      <xdr:col>3</xdr:col>
      <xdr:colOff>177800</xdr:colOff>
      <xdr:row>6</xdr:row>
      <xdr:rowOff>25400</xdr:rowOff>
    </xdr:from>
    <xdr:to>
      <xdr:col>5</xdr:col>
      <xdr:colOff>203200</xdr:colOff>
      <xdr:row>9</xdr:row>
      <xdr:rowOff>19050</xdr:rowOff>
    </xdr:to>
    <xdr:sp macro="" textlink="'PIVOT TABLE'!A4">
      <xdr:nvSpPr>
        <xdr:cNvPr id="73" name="TextBox 72">
          <a:extLst>
            <a:ext uri="{FF2B5EF4-FFF2-40B4-BE49-F238E27FC236}">
              <a16:creationId xmlns:a16="http://schemas.microsoft.com/office/drawing/2014/main" id="{F91C9CC0-294E-6406-5A92-1881080F8D1F}"/>
            </a:ext>
          </a:extLst>
        </xdr:cNvPr>
        <xdr:cNvSpPr txBox="1"/>
      </xdr:nvSpPr>
      <xdr:spPr>
        <a:xfrm>
          <a:off x="2006600" y="113030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B48A6A-3EA1-406F-A240-0955C23E2C6E}" type="TxLink">
            <a:rPr lang="en-US" sz="1800" b="1" i="0" u="none" strike="noStrike">
              <a:solidFill>
                <a:srgbClr val="7F6AC1"/>
              </a:solidFill>
              <a:latin typeface="Calibri"/>
              <a:cs typeface="Calibri"/>
            </a:rPr>
            <a:pPr/>
            <a:t>₦3.3B</a:t>
          </a:fld>
          <a:endParaRPr lang="en-US" sz="1800" b="1">
            <a:solidFill>
              <a:srgbClr val="7F6AC1"/>
            </a:solidFill>
            <a:latin typeface="+mn-lt"/>
          </a:endParaRPr>
        </a:p>
      </xdr:txBody>
    </xdr:sp>
    <xdr:clientData/>
  </xdr:twoCellAnchor>
  <xdr:twoCellAnchor>
    <xdr:from>
      <xdr:col>5</xdr:col>
      <xdr:colOff>450850</xdr:colOff>
      <xdr:row>6</xdr:row>
      <xdr:rowOff>6350</xdr:rowOff>
    </xdr:from>
    <xdr:to>
      <xdr:col>7</xdr:col>
      <xdr:colOff>476250</xdr:colOff>
      <xdr:row>9</xdr:row>
      <xdr:rowOff>0</xdr:rowOff>
    </xdr:to>
    <xdr:sp macro="" textlink="'PIVOT TABLE'!B4">
      <xdr:nvSpPr>
        <xdr:cNvPr id="75" name="TextBox 74">
          <a:extLst>
            <a:ext uri="{FF2B5EF4-FFF2-40B4-BE49-F238E27FC236}">
              <a16:creationId xmlns:a16="http://schemas.microsoft.com/office/drawing/2014/main" id="{D434DE0D-0CAF-41DF-70B1-739C95E8F55B}"/>
            </a:ext>
          </a:extLst>
        </xdr:cNvPr>
        <xdr:cNvSpPr txBox="1"/>
      </xdr:nvSpPr>
      <xdr:spPr>
        <a:xfrm>
          <a:off x="3498850" y="111125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D209E6D-A7E7-4C52-9645-06FD69E07985}" type="TxLink">
            <a:rPr lang="en-US" sz="1800" b="1" i="0" u="none" strike="noStrike">
              <a:solidFill>
                <a:srgbClr val="7F6AC1"/>
              </a:solidFill>
              <a:latin typeface="Calibri"/>
              <a:cs typeface="Calibri"/>
            </a:rPr>
            <a:pPr/>
            <a:t> 41,724 </a:t>
          </a:fld>
          <a:endParaRPr lang="en-US" sz="1800" b="1">
            <a:solidFill>
              <a:srgbClr val="7F6AC1"/>
            </a:solidFill>
          </a:endParaRPr>
        </a:p>
      </xdr:txBody>
    </xdr:sp>
    <xdr:clientData/>
  </xdr:twoCellAnchor>
  <xdr:twoCellAnchor>
    <xdr:from>
      <xdr:col>8</xdr:col>
      <xdr:colOff>317500</xdr:colOff>
      <xdr:row>5</xdr:row>
      <xdr:rowOff>165100</xdr:rowOff>
    </xdr:from>
    <xdr:to>
      <xdr:col>10</xdr:col>
      <xdr:colOff>342900</xdr:colOff>
      <xdr:row>8</xdr:row>
      <xdr:rowOff>158750</xdr:rowOff>
    </xdr:to>
    <xdr:sp macro="" textlink="'PIVOT TABLE'!C4">
      <xdr:nvSpPr>
        <xdr:cNvPr id="77" name="TextBox 76">
          <a:extLst>
            <a:ext uri="{FF2B5EF4-FFF2-40B4-BE49-F238E27FC236}">
              <a16:creationId xmlns:a16="http://schemas.microsoft.com/office/drawing/2014/main" id="{0B6BFFC8-6AE1-F08F-C34C-CFDF3D21E730}"/>
            </a:ext>
          </a:extLst>
        </xdr:cNvPr>
        <xdr:cNvSpPr txBox="1"/>
      </xdr:nvSpPr>
      <xdr:spPr>
        <a:xfrm>
          <a:off x="5194300" y="108585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D1A8FDC-500B-4A2A-9D3E-23CB83CE2FBF}" type="TxLink">
            <a:rPr lang="en-US" sz="1800" b="1" i="0" u="none" strike="noStrike">
              <a:solidFill>
                <a:srgbClr val="7F6AC1"/>
              </a:solidFill>
              <a:latin typeface="Calibri"/>
              <a:cs typeface="Calibri"/>
            </a:rPr>
            <a:pPr/>
            <a:t>350</a:t>
          </a:fld>
          <a:endParaRPr lang="en-US" sz="1800" b="1">
            <a:solidFill>
              <a:srgbClr val="7F6AC1"/>
            </a:solidFill>
          </a:endParaRPr>
        </a:p>
      </xdr:txBody>
    </xdr:sp>
    <xdr:clientData/>
  </xdr:twoCellAnchor>
  <xdr:twoCellAnchor>
    <xdr:from>
      <xdr:col>10</xdr:col>
      <xdr:colOff>552450</xdr:colOff>
      <xdr:row>5</xdr:row>
      <xdr:rowOff>177800</xdr:rowOff>
    </xdr:from>
    <xdr:to>
      <xdr:col>13</xdr:col>
      <xdr:colOff>133350</xdr:colOff>
      <xdr:row>7</xdr:row>
      <xdr:rowOff>101600</xdr:rowOff>
    </xdr:to>
    <xdr:sp macro="" textlink="'PIVOT TABLE'!D4">
      <xdr:nvSpPr>
        <xdr:cNvPr id="79" name="TextBox 78">
          <a:extLst>
            <a:ext uri="{FF2B5EF4-FFF2-40B4-BE49-F238E27FC236}">
              <a16:creationId xmlns:a16="http://schemas.microsoft.com/office/drawing/2014/main" id="{8CAE696C-866F-61DB-A2BF-9AFC18C1BF25}"/>
            </a:ext>
          </a:extLst>
        </xdr:cNvPr>
        <xdr:cNvSpPr txBox="1"/>
      </xdr:nvSpPr>
      <xdr:spPr>
        <a:xfrm>
          <a:off x="6648450" y="1098550"/>
          <a:ext cx="14097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52B003-9D1C-4868-91CF-67E37141943B}" type="TxLink">
            <a:rPr lang="en-US" sz="1800" b="1" i="0" u="none" strike="noStrike">
              <a:solidFill>
                <a:srgbClr val="7F6AC1"/>
              </a:solidFill>
              <a:latin typeface="Calibri"/>
              <a:cs typeface="Calibri"/>
            </a:rPr>
            <a:pPr/>
            <a:t>₦87K</a:t>
          </a:fld>
          <a:endParaRPr lang="en-US" sz="1800" b="1">
            <a:solidFill>
              <a:srgbClr val="7F6AC1"/>
            </a:solidFill>
          </a:endParaRPr>
        </a:p>
      </xdr:txBody>
    </xdr:sp>
    <xdr:clientData/>
  </xdr:twoCellAnchor>
  <xdr:twoCellAnchor>
    <xdr:from>
      <xdr:col>13</xdr:col>
      <xdr:colOff>317500</xdr:colOff>
      <xdr:row>5</xdr:row>
      <xdr:rowOff>171450</xdr:rowOff>
    </xdr:from>
    <xdr:to>
      <xdr:col>15</xdr:col>
      <xdr:colOff>342900</xdr:colOff>
      <xdr:row>8</xdr:row>
      <xdr:rowOff>165100</xdr:rowOff>
    </xdr:to>
    <xdr:sp macro="" textlink="'PIVOT TABLE'!E4">
      <xdr:nvSpPr>
        <xdr:cNvPr id="81" name="TextBox 80">
          <a:extLst>
            <a:ext uri="{FF2B5EF4-FFF2-40B4-BE49-F238E27FC236}">
              <a16:creationId xmlns:a16="http://schemas.microsoft.com/office/drawing/2014/main" id="{28AD39A6-B2FA-8D8B-266E-732AF94C605E}"/>
            </a:ext>
          </a:extLst>
        </xdr:cNvPr>
        <xdr:cNvSpPr txBox="1"/>
      </xdr:nvSpPr>
      <xdr:spPr>
        <a:xfrm>
          <a:off x="8242300" y="1092200"/>
          <a:ext cx="124460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A401D39-47EC-40C4-87DC-60962EC93C19}" type="TxLink">
            <a:rPr lang="en-US" sz="1800" b="1" i="0" u="none" strike="noStrike" baseline="0">
              <a:solidFill>
                <a:srgbClr val="7F6AC1"/>
              </a:solidFill>
              <a:latin typeface="Calibri"/>
              <a:cs typeface="Calibri"/>
            </a:rPr>
            <a:pPr/>
            <a:t>8%</a:t>
          </a:fld>
          <a:endParaRPr lang="en-US" sz="1800" b="1">
            <a:solidFill>
              <a:srgbClr val="7F6AC1"/>
            </a:solidFill>
          </a:endParaRPr>
        </a:p>
      </xdr:txBody>
    </xdr:sp>
    <xdr:clientData/>
  </xdr:twoCellAnchor>
  <xdr:twoCellAnchor>
    <xdr:from>
      <xdr:col>3</xdr:col>
      <xdr:colOff>241300</xdr:colOff>
      <xdr:row>11</xdr:row>
      <xdr:rowOff>82550</xdr:rowOff>
    </xdr:from>
    <xdr:to>
      <xdr:col>8</xdr:col>
      <xdr:colOff>50800</xdr:colOff>
      <xdr:row>21</xdr:row>
      <xdr:rowOff>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7C2210A8-DA4C-4FBA-9205-949F31801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171450</xdr:colOff>
      <xdr:row>11</xdr:row>
      <xdr:rowOff>12700</xdr:rowOff>
    </xdr:from>
    <xdr:to>
      <xdr:col>15</xdr:col>
      <xdr:colOff>285750</xdr:colOff>
      <xdr:row>21</xdr:row>
      <xdr:rowOff>82550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5F1732CE-1301-4A3E-BEDF-851878985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165100</xdr:colOff>
      <xdr:row>21</xdr:row>
      <xdr:rowOff>133350</xdr:rowOff>
    </xdr:from>
    <xdr:to>
      <xdr:col>8</xdr:col>
      <xdr:colOff>95250</xdr:colOff>
      <xdr:row>33</xdr:row>
      <xdr:rowOff>57150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22113F97-C23F-4A19-8B57-945D22EAB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260350</xdr:colOff>
      <xdr:row>22</xdr:row>
      <xdr:rowOff>152400</xdr:rowOff>
    </xdr:from>
    <xdr:to>
      <xdr:col>11</xdr:col>
      <xdr:colOff>508000</xdr:colOff>
      <xdr:row>32</xdr:row>
      <xdr:rowOff>158750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3777F2C-1694-4660-9577-7AD84834E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146050</xdr:colOff>
      <xdr:row>24</xdr:row>
      <xdr:rowOff>19050</xdr:rowOff>
    </xdr:from>
    <xdr:to>
      <xdr:col>15</xdr:col>
      <xdr:colOff>368300</xdr:colOff>
      <xdr:row>33</xdr:row>
      <xdr:rowOff>152400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DB01DE7-24E0-494B-9B48-9EACB01E4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158750</xdr:colOff>
      <xdr:row>22</xdr:row>
      <xdr:rowOff>133350</xdr:rowOff>
    </xdr:from>
    <xdr:to>
      <xdr:col>15</xdr:col>
      <xdr:colOff>228600</xdr:colOff>
      <xdr:row>25</xdr:row>
      <xdr:rowOff>127000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25F90D5-4EFE-F19D-85E6-5B2CBB9810E4}"/>
            </a:ext>
          </a:extLst>
        </xdr:cNvPr>
        <xdr:cNvSpPr txBox="1"/>
      </xdr:nvSpPr>
      <xdr:spPr>
        <a:xfrm>
          <a:off x="7473950" y="4184650"/>
          <a:ext cx="1898650" cy="546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rgbClr val="7F6AC1"/>
              </a:solidFill>
            </a:rPr>
            <a:t>Passenger</a:t>
          </a:r>
          <a:r>
            <a:rPr lang="en-US" sz="1050" b="1" baseline="0">
              <a:solidFill>
                <a:srgbClr val="7F6AC1"/>
              </a:solidFill>
            </a:rPr>
            <a:t> Share by Class</a:t>
          </a:r>
          <a:endParaRPr lang="en-US" sz="1050" b="1">
            <a:solidFill>
              <a:srgbClr val="7F6AC1"/>
            </a:solidFill>
          </a:endParaRPr>
        </a:p>
        <a:p>
          <a:endParaRPr lang="en-US" sz="1050">
            <a:solidFill>
              <a:srgbClr val="7F6AC1"/>
            </a:solidFill>
          </a:endParaRPr>
        </a:p>
      </xdr:txBody>
    </xdr:sp>
    <xdr:clientData/>
  </xdr:twoCellAnchor>
  <xdr:twoCellAnchor>
    <xdr:from>
      <xdr:col>3</xdr:col>
      <xdr:colOff>273050</xdr:colOff>
      <xdr:row>6</xdr:row>
      <xdr:rowOff>31750</xdr:rowOff>
    </xdr:from>
    <xdr:to>
      <xdr:col>5</xdr:col>
      <xdr:colOff>241300</xdr:colOff>
      <xdr:row>10</xdr:row>
      <xdr:rowOff>44450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1E5CF20F-49D5-4991-9F87-53B4A005C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</xdr:col>
      <xdr:colOff>38100</xdr:colOff>
      <xdr:row>7</xdr:row>
      <xdr:rowOff>88900</xdr:rowOff>
    </xdr:from>
    <xdr:to>
      <xdr:col>7</xdr:col>
      <xdr:colOff>450850</xdr:colOff>
      <xdr:row>10</xdr:row>
      <xdr:rowOff>139700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C136DD7-DC49-4B1A-9E72-046A0EE3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285750</xdr:colOff>
      <xdr:row>6</xdr:row>
      <xdr:rowOff>177800</xdr:rowOff>
    </xdr:from>
    <xdr:to>
      <xdr:col>10</xdr:col>
      <xdr:colOff>330200</xdr:colOff>
      <xdr:row>11</xdr:row>
      <xdr:rowOff>63500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887FB083-7983-4018-B35D-ED23B000C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</xdr:col>
      <xdr:colOff>438150</xdr:colOff>
      <xdr:row>7</xdr:row>
      <xdr:rowOff>19050</xdr:rowOff>
    </xdr:from>
    <xdr:to>
      <xdr:col>13</xdr:col>
      <xdr:colOff>111125</xdr:colOff>
      <xdr:row>11</xdr:row>
      <xdr:rowOff>88900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D54FD10A-CDB6-40A6-A207-010E6D17D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</xdr:col>
      <xdr:colOff>95250</xdr:colOff>
      <xdr:row>7</xdr:row>
      <xdr:rowOff>95250</xdr:rowOff>
    </xdr:from>
    <xdr:to>
      <xdr:col>15</xdr:col>
      <xdr:colOff>390525</xdr:colOff>
      <xdr:row>9</xdr:row>
      <xdr:rowOff>177800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3E97C456-A6B5-4C5F-AB18-C632AEA25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6567511574" backgroundQuery="1" createdVersion="8" refreshedVersion="8" minRefreshableVersion="3" recordCount="0" supportSubquery="1" supportAdvancedDrill="1" xr:uid="{1EC9F48D-0E87-4C74-AE13-E34ACCAC01E3}">
  <cacheSource type="external" connectionId="1"/>
  <cacheFields count="2">
    <cacheField name="[Table242].[Class].[Class]" caption="Class" numFmtId="0" hierarchy="9" level="1">
      <sharedItems count="2">
        <s v="Business"/>
        <s v="Economy"/>
      </sharedItems>
    </cacheField>
    <cacheField name="[Measures].[Count of Flight ID]" caption="Count of Flight ID" numFmtId="0" hierarchy="20" level="32767"/>
  </cacheFields>
  <cacheHierarchies count="25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0" memberValueDatatype="130" unbalanced="0"/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6567673611" backgroundQuery="1" createdVersion="8" refreshedVersion="8" minRefreshableVersion="3" recordCount="0" supportSubquery="1" supportAdvancedDrill="1" xr:uid="{F5A22405-56FC-4D43-96A9-558FA638FFE8}">
  <cacheSource type="external" connectionId="1"/>
  <cacheFields count="2">
    <cacheField name="[Table242].[Performance Rating].[Performance Rating]" caption="Performance Rating" numFmtId="0" hierarchy="12" level="1">
      <sharedItems count="3">
        <s v="Late"/>
        <s v="On Time"/>
        <s v="Slight Delay"/>
      </sharedItems>
    </cacheField>
    <cacheField name="[Measures].[Count of Flight ID]" caption="Count of Flight ID" numFmtId="0" hierarchy="20" level="32767"/>
  </cacheFields>
  <cacheHierarchies count="25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0" memberValueDatatype="130" unbalanced="0"/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65684722223" backgroundQuery="1" createdVersion="8" refreshedVersion="8" minRefreshableVersion="3" recordCount="0" supportSubquery="1" supportAdvancedDrill="1" xr:uid="{6B68C1C7-8B35-4B7B-948F-DD423E405CC0}">
  <cacheSource type="external" connectionId="1"/>
  <cacheFields count="2">
    <cacheField name="[Table242].[Departure City].[Departure City]" caption="Departure City" numFmtId="0" hierarchy="2" level="1">
      <sharedItems count="6">
        <s v="Abuja"/>
        <s v="Benin"/>
        <s v="Enugu"/>
        <s v="Kano"/>
        <s v="Lagos"/>
        <s v="Port Harcourt"/>
      </sharedItems>
    </cacheField>
    <cacheField name="[Measures].[Sum of Discounted Revenue]" caption="Sum of Discounted Revenue" numFmtId="0" hierarchy="18" level="32767"/>
  </cacheFields>
  <cacheHierarchies count="25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0" memberValueDatatype="130" unbalanced="0"/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65678240742" backgroundQuery="1" createdVersion="8" refreshedVersion="8" minRefreshableVersion="3" recordCount="0" supportSubquery="1" supportAdvancedDrill="1" xr:uid="{CA79DEB4-EC6E-46E8-A9E6-06583944E52D}">
  <cacheSource type="external" connectionId="1"/>
  <cacheFields count="2">
    <cacheField name="[Table242].[Aircraft Type].[Aircraft Type]" caption="Aircraft Type" numFmtId="0" hierarchy="4" level="1">
      <sharedItems count="5">
        <s v="Airbus A320"/>
        <s v="Boeing 737"/>
        <s v="Boeing 777"/>
        <s v="CRJ-900"/>
        <s v="Embraer 175"/>
      </sharedItems>
    </cacheField>
    <cacheField name="[Measures].[Count of Flight ID]" caption="Count of Flight ID" numFmtId="0" hierarchy="20" level="32767"/>
  </cacheFields>
  <cacheHierarchies count="25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0" memberValueDatatype="130" unbalanced="0"/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65680208335" backgroundQuery="1" createdVersion="8" refreshedVersion="8" minRefreshableVersion="3" recordCount="0" supportSubquery="1" supportAdvancedDrill="1" xr:uid="{0980890C-8A26-4343-BE08-DEF1E286D551}">
  <cacheSource type="external" connectionId="1"/>
  <cacheFields count="2"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  <cacheField name="[Measures].[Sum of Discounted Revenue]" caption="Sum of Discounted Revenue" numFmtId="0" hierarchy="18" level="32767"/>
  </cacheFields>
  <cacheHierarchies count="25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3.870735648146" backgroundQuery="1" createdVersion="8" refreshedVersion="8" minRefreshableVersion="3" recordCount="0" supportSubquery="1" supportAdvancedDrill="1" xr:uid="{C3178972-1953-4396-8CE6-EAAB66D74C6B}">
  <cacheSource type="external" connectionId="1"/>
  <cacheFields count="5">
    <cacheField name="[Measures].[Sum of Discounted Revenue]" caption="Sum of Discounted Revenue" numFmtId="0" hierarchy="18" level="32767"/>
    <cacheField name="[Measures].[Sum of Passenger Count]" caption="Sum of Passenger Count" numFmtId="0" hierarchy="19" level="32767"/>
    <cacheField name="[Measures].[Count of Flight ID]" caption="Count of Flight ID" numFmtId="0" hierarchy="20" level="32767"/>
    <cacheField name="[Measures].[Average of Ticket Price]" caption="Average of Ticket Price" numFmtId="0" hierarchy="22" level="32767"/>
    <cacheField name="[Measures].[Average of STATUS]" caption="Average of STATUS" numFmtId="0" hierarchy="25" level="32767"/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0" memberValueDatatype="130" unbalanced="0"/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6.281337499997" backgroundQuery="1" createdVersion="8" refreshedVersion="8" minRefreshableVersion="3" recordCount="0" supportSubquery="1" supportAdvancedDrill="1" xr:uid="{4173A13F-EB0A-4B53-99DD-B6EBF3310088}">
  <cacheSource type="external" connectionId="1"/>
  <cacheFields count="2">
    <cacheField name="[Measures].[Sum of Discounted Revenue]" caption="Sum of Discounted Revenue" numFmtId="0" hierarchy="18" level="32767"/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1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6.289903472221" backgroundQuery="1" createdVersion="8" refreshedVersion="8" minRefreshableVersion="3" recordCount="0" supportSubquery="1" supportAdvancedDrill="1" xr:uid="{D4E8CFF1-5A5E-4D06-B39A-4ED015E7688B}">
  <cacheSource type="external" connectionId="1"/>
  <cacheFields count="2">
    <cacheField name="[Measures].[Sum of Passenger Count]" caption="Sum of Passenger Count" numFmtId="0" hierarchy="19" level="32767"/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1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6.291627199076" backgroundQuery="1" createdVersion="8" refreshedVersion="8" minRefreshableVersion="3" recordCount="0" supportSubquery="1" supportAdvancedDrill="1" xr:uid="{1627075F-0E54-4BB1-B690-1BE3EBB29945}">
  <cacheSource type="external" connectionId="1"/>
  <cacheFields count="2"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  <cacheField name="[Measures].[Count of Flight ID]" caption="Count of Flight ID" numFmtId="0" hierarchy="20" level="32767"/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6.292631249999" backgroundQuery="1" createdVersion="8" refreshedVersion="8" minRefreshableVersion="3" recordCount="0" supportSubquery="1" supportAdvancedDrill="1" xr:uid="{027777E7-065F-473D-BD38-30E350591843}">
  <cacheSource type="external" connectionId="1"/>
  <cacheFields count="2"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  <cacheField name="[Measures].[Average of Ticket Price]" caption="Average of Ticket Price" numFmtId="0" hierarchy="22" level="32767"/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ris" refreshedDate="45966.294905787036" backgroundQuery="1" createdVersion="8" refreshedVersion="8" minRefreshableVersion="3" recordCount="0" supportSubquery="1" supportAdvancedDrill="1" xr:uid="{FDCB776D-2A0C-45E7-9791-5BC3D9068647}">
  <cacheSource type="external" connectionId="1"/>
  <cacheFields count="2">
    <cacheField name="[Table242].[Flight Date (Month)].[Flight Date (Month)]" caption="Flight Date (Month)" numFmtId="0" hierarchy="13" level="1">
      <sharedItems count="6">
        <s v="Jan"/>
        <s v="Feb"/>
        <s v="Mar"/>
        <s v="Apr"/>
        <s v="May"/>
        <s v="Jun"/>
      </sharedItems>
    </cacheField>
    <cacheField name="[Measures].[Sum of STATUS]" caption="Sum of STATUS" numFmtId="0" hierarchy="23" level="32767"/>
  </cacheFields>
  <cacheHierarchies count="26">
    <cacheHierarchy uniqueName="[Table242].[Flight ID]" caption="Flight ID" attribute="1" defaultMemberUniqueName="[Table242].[Flight ID].[All]" allUniqueName="[Table242].[Flight ID].[All]" dimensionUniqueName="[Table242]" displayFolder="" count="0" memberValueDatatype="130" unbalanced="0"/>
    <cacheHierarchy uniqueName="[Table242].[Flight Number]" caption="Flight Number" attribute="1" defaultMemberUniqueName="[Table242].[Flight Number].[All]" allUniqueName="[Table242].[Flight Number].[All]" dimensionUniqueName="[Table242]" displayFolder="" count="0" memberValueDatatype="130" unbalanced="0"/>
    <cacheHierarchy uniqueName="[Table242].[Departure City]" caption="Departure City" attribute="1" defaultMemberUniqueName="[Table242].[Departure City].[All]" allUniqueName="[Table242].[Departure City].[All]" dimensionUniqueName="[Table242]" displayFolder="" count="0" memberValueDatatype="130" unbalanced="0"/>
    <cacheHierarchy uniqueName="[Table242].[Arrival City]" caption="Arrival City" attribute="1" defaultMemberUniqueName="[Table242].[Arrival City].[All]" allUniqueName="[Table242].[Arrival City].[All]" dimensionUniqueName="[Table242]" displayFolder="" count="0" memberValueDatatype="130" unbalanced="0"/>
    <cacheHierarchy uniqueName="[Table242].[Aircraft Type]" caption="Aircraft Type" attribute="1" defaultMemberUniqueName="[Table242].[Aircraft Type].[All]" allUniqueName="[Table242].[Aircraft Type].[All]" dimensionUniqueName="[Table242]" displayFolder="" count="0" memberValueDatatype="130" unbalanced="0"/>
    <cacheHierarchy uniqueName="[Table242].[Arrival Delay (mins)]" caption="Arrival Delay (mins)" attribute="1" defaultMemberUniqueName="[Table242].[Arrival Delay (mins)].[All]" allUniqueName="[Table242].[Arrival Delay (mins)].[All]" dimensionUniqueName="[Table242]" displayFolder="" count="0" memberValueDatatype="20" unbalanced="0"/>
    <cacheHierarchy uniqueName="[Table242].[Ticket Price]" caption="Ticket Price" attribute="1" defaultMemberUniqueName="[Table242].[Ticket Price].[All]" allUniqueName="[Table242].[Ticket Price].[All]" dimensionUniqueName="[Table242]" displayFolder="" count="0" memberValueDatatype="20" unbalanced="0"/>
    <cacheHierarchy uniqueName="[Table242].[Passenger Count]" caption="Passenger Count" attribute="1" defaultMemberUniqueName="[Table242].[Passenger Count].[All]" allUniqueName="[Table242].[Passenger Count].[All]" dimensionUniqueName="[Table242]" displayFolder="" count="0" memberValueDatatype="20" unbalanced="0"/>
    <cacheHierarchy uniqueName="[Table242].[Flight Date]" caption="Flight Date" attribute="1" time="1" defaultMemberUniqueName="[Table242].[Flight Date].[All]" allUniqueName="[Table242].[Flight Date].[All]" dimensionUniqueName="[Table242]" displayFolder="" count="0" memberValueDatatype="7" unbalanced="0"/>
    <cacheHierarchy uniqueName="[Table242].[Class]" caption="Class" attribute="1" defaultMemberUniqueName="[Table242].[Class].[All]" allUniqueName="[Table242].[Class].[All]" dimensionUniqueName="[Table242]" displayFolder="" count="0" memberValueDatatype="130" unbalanced="0"/>
    <cacheHierarchy uniqueName="[Table242].[Revenue]" caption="Revenue" attribute="1" defaultMemberUniqueName="[Table242].[Revenue].[All]" allUniqueName="[Table242].[Revenue].[All]" dimensionUniqueName="[Table242]" displayFolder="" count="0" memberValueDatatype="20" unbalanced="0"/>
    <cacheHierarchy uniqueName="[Table242].[Discounted Revenue]" caption="Discounted Revenue" attribute="1" defaultMemberUniqueName="[Table242].[Discounted Revenue].[All]" allUniqueName="[Table242].[Discounted Revenue].[All]" dimensionUniqueName="[Table242]" displayFolder="" count="0" memberValueDatatype="20" unbalanced="0"/>
    <cacheHierarchy uniqueName="[Table242].[Performance Rating]" caption="Performance Rating" attribute="1" defaultMemberUniqueName="[Table242].[Performance Rating].[All]" allUniqueName="[Table242].[Performance Rating].[All]" dimensionUniqueName="[Table242]" displayFolder="" count="0" memberValueDatatype="130" unbalanced="0"/>
    <cacheHierarchy uniqueName="[Table242].[Flight Date (Month)]" caption="Flight Date (Month)" attribute="1" defaultMemberUniqueName="[Table242].[Flight Date (Month)].[All]" allUniqueName="[Table242].[Flight Date (Month)].[All]" dimensionUniqueName="[Table242]" displayFolder="" count="2" memberValueDatatype="130" unbalanced="0">
      <fieldsUsage count="2">
        <fieldUsage x="-1"/>
        <fieldUsage x="0"/>
      </fieldsUsage>
    </cacheHierarchy>
    <cacheHierarchy uniqueName="[Table242].[STATUS]" caption="STATUS" attribute="1" defaultMemberUniqueName="[Table242].[STATUS].[All]" allUniqueName="[Table242].[STATUS].[All]" dimensionUniqueName="[Table242]" displayFolder="" count="0" memberValueDatatype="20" unbalanced="0"/>
    <cacheHierarchy uniqueName="[Table242].[Flight Date (Month Index)]" caption="Flight Date (Month Index)" attribute="1" defaultMemberUniqueName="[Table242].[Flight Date (Month Index)].[All]" allUniqueName="[Table242].[Flight Date (Month Index)].[All]" dimensionUniqueName="[Table242]" displayFolder="" count="0" memberValueDatatype="20" unbalanced="0" hidden="1"/>
    <cacheHierarchy uniqueName="[Measures].[__XL_Count Table242]" caption="__XL_Count Table242" measure="1" displayFolder="" measureGroup="Table242" count="0" hidden="1"/>
    <cacheHierarchy uniqueName="[Measures].[__No measures defined]" caption="__No measures defined" measure="1" displayFolder="" count="0" hidden="1"/>
    <cacheHierarchy uniqueName="[Measures].[Sum of Discounted Revenue]" caption="Sum of Discounted Revenue" measure="1" displayFolder="" measureGroup="Table24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ssenger Count]" caption="Sum of Passenger Count" measure="1" displayFolder="" measureGroup="Table24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light ID]" caption="Count of Flight ID" measure="1" displayFolder="" measureGroup="Table24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icket Price]" caption="Sum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icket Price]" caption="Average of Ticket Price" measure="1" displayFolder="" measureGroup="Table24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TATUS]" caption="Sum of STATUS" measure="1" displayFolder="" measureGroup="Table24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TATUS]" caption="Count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STATUS]" caption="Average of STATUS" measure="1" displayFolder="" measureGroup="Table24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242" uniqueName="[Table242]" caption="Table242"/>
  </dimensions>
  <measureGroups count="1">
    <measureGroup name="Table242" caption="Table24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FBCCE-B059-4363-BAA7-BC7883CD8898}" name="PivotTable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28:B35" firstHeaderRow="1" firstDataRow="1" firstDataCol="1"/>
  <pivotFields count="2"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iscounted Revenue" fld="1" baseField="0" baseItem="0" numFmtId="169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AC6FB-B263-4A45-A39E-76980B88EA49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84:B8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light ID" fld="1" subtotal="count" baseField="0" baseItem="0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851E4-0811-45CF-AA08-8A49A9116EA3}" name="PivotTable1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D71:E7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TATUS" fld="1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9B054-4995-4CC5-8449-E0398B1B7E47}" name="PivotTable10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D21:E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assenger Count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8197A-1BF8-41EE-8B6A-C0B23489A392}" name="PivotTable12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D57:E64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icket Price" fld="1" subtotal="average" baseField="0" baseItem="0" numFmtId="168"/>
  </dataFields>
  <formats count="2">
    <format dxfId="2">
      <pivotArea outline="0" collapsedLevelsAreSubtotals="1" fieldPosition="0"/>
    </format>
    <format dxfId="1">
      <pivotArea outline="0" collapsedLevelsAreSubtotals="1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CABA7-9C96-468B-9723-69174E8A17F8}" name="PivotTable6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65:B69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Flight ID" fld="1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F12C0-9A9C-4040-A264-33FCDF48CB5A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48:B54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Count of Flight ID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AD1C8-5D16-4FC5-B1DC-15B95782301C}" name="PivotTable8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D8:E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iscounted Revenue" fld="0" baseField="0" baseItem="0" numFmtId="169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18C45-7505-4A4F-9FCA-739694B66CA6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10:B17" firstHeaderRow="1" firstDataRow="1" firstDataCol="1"/>
  <pivotFields count="2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5"/>
    </i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Discounted Revenue" fld="1" baseField="0" baseItem="0" numFmtId="169"/>
  </dataFields>
  <formats count="1">
    <format dxfId="4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8">
      <autoFilter ref="A1">
        <filterColumn colId="0">
          <top10 val="6" filterVal="6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A741D-05F2-461A-B38D-DD04216A99F3}" name="PivotTable1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D38:E45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light ID" fld="1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A9577-412B-4343-B31B-1889778ED500}" name="PivotTable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E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iscounted Revenue" fld="0" baseField="0" baseItem="0" numFmtId="167"/>
    <dataField name="Sum of Passenger Count" fld="1" baseField="0" baseItem="0" numFmtId="166"/>
    <dataField name="Count of Flight ID" fld="2" subtotal="count" baseField="0" baseItem="0"/>
    <dataField name="Average of Ticket Price" fld="3" subtotal="average" baseField="0" baseItem="1" numFmtId="168"/>
    <dataField name="Average of STATUS" fld="4" subtotal="average" baseField="0" baseItem="4" numFmtId="9"/>
  </dataFields>
  <formats count="4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Ticket Price"/>
    <pivotHierarchy dragToData="1" caption="Sum of STATUS"/>
    <pivotHierarchy dragToData="1" caption="Count of STATUS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eroLink_Airlines_Flight_Performance_Analysis clean data2.xlsx!Table242">
        <x15:activeTabTopLevelEntity name="[Table24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D69BCF-EDDF-4F5A-939B-BA10DA5C3BF0}" name="Table2" displayName="Table2" ref="A1:L351" totalsRowShown="0" headerRowBorderDxfId="63" tableBorderDxfId="62">
  <autoFilter ref="A1:L351" xr:uid="{EED69BCF-EDDF-4F5A-939B-BA10DA5C3BF0}"/>
  <tableColumns count="12">
    <tableColumn id="1" xr3:uid="{6897CEE6-E348-49BF-91EA-4882A1EC1B96}" name="Flight ID" dataDxfId="61"/>
    <tableColumn id="2" xr3:uid="{025B808F-D458-402E-93FB-AFF264B29630}" name="Flight Number"/>
    <tableColumn id="3" xr3:uid="{7318C688-59A4-4516-9184-FC47F89770A5}" name="Departure City"/>
    <tableColumn id="4" xr3:uid="{90349725-667F-4B45-AC9C-AFEDFA5B9774}" name="Arrival City" dataDxfId="60"/>
    <tableColumn id="5" xr3:uid="{F181FBB2-4830-4D4E-A45E-FFDB13FD1776}" name="Aircraft Type" dataDxfId="59"/>
    <tableColumn id="6" xr3:uid="{086F9BF3-BE70-4FE2-868A-7969D650EC67}" name="Arrival Delay (mins)" dataDxfId="58" dataCellStyle="Currency"/>
    <tableColumn id="7" xr3:uid="{329308B0-103A-41A8-B52F-DBF345A2E187}" name="Ticket Price" dataDxfId="57" dataCellStyle="Comma"/>
    <tableColumn id="8" xr3:uid="{AC35FFBB-A065-4E7A-BF3D-7CB4771F1CAF}" name="Passenger Count" dataDxfId="56"/>
    <tableColumn id="9" xr3:uid="{4161E6FE-0738-4926-B79F-1CBFFE848211}" name="Flight Date" dataDxfId="55"/>
    <tableColumn id="10" xr3:uid="{C883BD01-A64D-49EA-A0AE-0754091BCF04}" name="Class" dataDxfId="54"/>
    <tableColumn id="11" xr3:uid="{59F5DBEF-A441-4C89-AC0C-2ACF27AF3D54}" name="Revenue" dataDxfId="53">
      <calculatedColumnFormula>PRODUCT(Table2[[#This Row],[Ticket Price]],Table2[[#This Row],[Passenger Count]])</calculatedColumnFormula>
    </tableColumn>
    <tableColumn id="12" xr3:uid="{E4980EFC-6E1E-4FD7-89A1-7716E06FFBB9}" name="Discounted Revenue" dataDxfId="52">
      <calculatedColumnFormula>Table2[[#This Row],[Revenue]]*(1-$O$2)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1B9D83-5A86-4DAC-891A-D681CCD1C35E}" name="Table24" displayName="Table24" ref="A1:M351" totalsRowShown="0" headerRowBorderDxfId="49" tableBorderDxfId="48">
  <autoFilter ref="A1:M351" xr:uid="{EED69BCF-EDDF-4F5A-939B-BA10DA5C3BF0}"/>
  <tableColumns count="13">
    <tableColumn id="1" xr3:uid="{1E1BA06E-1BD6-46B8-AA5D-6BD00021FC02}" name="Flight ID" dataDxfId="47"/>
    <tableColumn id="2" xr3:uid="{91CCC1B0-BB44-4B4F-B3C9-1D581E769484}" name="Flight Number"/>
    <tableColumn id="3" xr3:uid="{07CA3DE6-863E-4252-A385-5B3D64B77531}" name="Departure City"/>
    <tableColumn id="4" xr3:uid="{8E30669D-1CA6-4D93-80F4-EF91E223B807}" name="Arrival City" dataDxfId="46"/>
    <tableColumn id="5" xr3:uid="{7E24586A-850C-46E3-8D8A-5E417C7B3520}" name="Aircraft Type" dataDxfId="45"/>
    <tableColumn id="6" xr3:uid="{11E093F1-CEF6-42E2-A7FD-FBD1699629AC}" name="Arrival Delay (mins)" dataDxfId="44" dataCellStyle="Currency"/>
    <tableColumn id="7" xr3:uid="{C3DDD83D-448F-4FBE-931D-D295F0440191}" name="Ticket Price" dataDxfId="43" dataCellStyle="Comma"/>
    <tableColumn id="8" xr3:uid="{75C8AB32-5067-4C93-9694-D59079EB4CB2}" name="Passenger Count" dataDxfId="42"/>
    <tableColumn id="9" xr3:uid="{C968EE84-7351-4668-AD45-95B9B3D5A28D}" name="Flight Date" dataDxfId="41"/>
    <tableColumn id="10" xr3:uid="{B8EA0053-E456-41A2-8A08-4DC10CD9E007}" name="Class" dataDxfId="40"/>
    <tableColumn id="11" xr3:uid="{69DC20C1-A33D-4128-A8D7-76B8F6EEA097}" name="Revenue" dataDxfId="39">
      <calculatedColumnFormula>PRODUCT(Table24[[#This Row],[Ticket Price]],Table24[[#This Row],[Passenger Count]])</calculatedColumnFormula>
    </tableColumn>
    <tableColumn id="12" xr3:uid="{66C16797-2708-417F-8BFF-F9F44C839B1A}" name="Discounted Revenue" dataDxfId="38">
      <calculatedColumnFormula>Table24[[#This Row],[Revenue]]*(1-$Q$2)</calculatedColumnFormula>
    </tableColumn>
    <tableColumn id="13" xr3:uid="{D1547933-D734-4017-8760-10041EDDD1AD}" name="Performance Rating" dataDxfId="37">
      <calculatedColumnFormula>IF(F2&lt;=10,"On Time",IF(F2&lt;=30,"Slight Delay","Late"))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99B54D-051C-4638-875C-83BEA88F7ADA}" name="Table25" displayName="Table25" ref="A1:L351" totalsRowShown="0" headerRowBorderDxfId="36" tableBorderDxfId="35">
  <autoFilter ref="A1:L351" xr:uid="{EED69BCF-EDDF-4F5A-939B-BA10DA5C3BF0}"/>
  <tableColumns count="12">
    <tableColumn id="1" xr3:uid="{0A7282FA-2603-45E3-B14D-963E90BEBFD9}" name="Flight ID" dataDxfId="34"/>
    <tableColumn id="2" xr3:uid="{6277C112-D661-43E6-9962-0270F50DF8EC}" name="Flight Number"/>
    <tableColumn id="3" xr3:uid="{7444123B-56AF-4B1E-A70B-473979FDE3FF}" name="Departure City"/>
    <tableColumn id="4" xr3:uid="{FF488E81-196E-4B39-9988-3756C4ED3F3A}" name="Arrival City" dataDxfId="33"/>
    <tableColumn id="5" xr3:uid="{CD0B8F8E-E35C-46BE-BC37-4F234E923F67}" name="Aircraft Type" dataDxfId="32"/>
    <tableColumn id="6" xr3:uid="{DB51A24B-6397-425F-B4CC-330DC13D4584}" name="Arrival Delay (mins)" dataDxfId="31" dataCellStyle="Currency"/>
    <tableColumn id="7" xr3:uid="{278060BF-2031-412B-9AFD-1E198BFE8861}" name="Ticket Price" dataDxfId="30" dataCellStyle="Comma"/>
    <tableColumn id="8" xr3:uid="{29F303B0-A798-4330-BBD6-753A94FD60E2}" name="Passenger Count" dataDxfId="29"/>
    <tableColumn id="9" xr3:uid="{F825E2F8-AA8F-478B-BCFC-FAA018D24252}" name="Flight Date" dataDxfId="28"/>
    <tableColumn id="10" xr3:uid="{E09667DE-DF06-468B-8392-2B1F401E7644}" name="Class" dataDxfId="27"/>
    <tableColumn id="11" xr3:uid="{699FA17D-8DFD-436C-8851-EFC4154A9442}" name="Revenue" dataDxfId="26">
      <calculatedColumnFormula>PRODUCT(Table25[[#This Row],[Ticket Price]],Table25[[#This Row],[Passenger Count]])</calculatedColumnFormula>
    </tableColumn>
    <tableColumn id="12" xr3:uid="{99E5E09E-B621-4F2E-BFCE-B42955D7AEC7}" name="Discounted Revenue" dataDxfId="25">
      <calculatedColumnFormula>Table25[[#This Row],[Revenue]]*(1-$O$2)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18A01-13F0-48F8-B549-8C8D46B9A98E}" name="Table242" displayName="Table242" ref="A1:N351" totalsRowShown="0" headerRowBorderDxfId="22" tableBorderDxfId="21">
  <autoFilter ref="A1:N351" xr:uid="{EED69BCF-EDDF-4F5A-939B-BA10DA5C3BF0}"/>
  <tableColumns count="14">
    <tableColumn id="1" xr3:uid="{5F0E2061-F96E-4FB0-A216-58D153135F45}" name="Flight ID" dataDxfId="20"/>
    <tableColumn id="2" xr3:uid="{C2B83472-FB38-4DB8-B1CC-5B132B33B7C4}" name="Flight Number"/>
    <tableColumn id="3" xr3:uid="{8D1719BB-65DD-45EC-AB10-C8A551FD8474}" name="Departure City"/>
    <tableColumn id="4" xr3:uid="{6EEF5658-E199-4976-BB40-5196D8DC493E}" name="Arrival City" dataDxfId="19"/>
    <tableColumn id="5" xr3:uid="{A229C598-53D8-4216-BB7F-8B546D0CDE67}" name="Aircraft Type" dataDxfId="18"/>
    <tableColumn id="6" xr3:uid="{D0EBDCD9-A194-4DE0-9E62-1375E617F51E}" name="Arrival Delay (mins)" dataDxfId="17" dataCellStyle="Currency"/>
    <tableColumn id="7" xr3:uid="{150B802E-85C0-47D5-A4AD-75EACEF49E3C}" name="Ticket Price" dataDxfId="16" dataCellStyle="Comma"/>
    <tableColumn id="8" xr3:uid="{171DF108-EF8B-48C3-91FD-F7D16D4F8073}" name="Passenger Count" dataDxfId="15"/>
    <tableColumn id="9" xr3:uid="{23983C11-4B6D-4D1D-BF15-2047D99DCA36}" name="Flight Date" dataDxfId="14"/>
    <tableColumn id="10" xr3:uid="{CEC0743D-E373-47D3-9464-F01CFD593B56}" name="Class" dataDxfId="13"/>
    <tableColumn id="11" xr3:uid="{24AB48B0-7D9E-4974-99A2-F3671ABBD28E}" name="Revenue" dataDxfId="12">
      <calculatedColumnFormula>PRODUCT(Table242[[#This Row],[Ticket Price]],Table242[[#This Row],[Passenger Count]])</calculatedColumnFormula>
    </tableColumn>
    <tableColumn id="12" xr3:uid="{1614C82E-C902-4C46-B467-E7F8EFCA8817}" name="Discounted Revenue" dataDxfId="11">
      <calculatedColumnFormula>Table242[[#This Row],[Revenue]]*(1-$Q$2)</calculatedColumnFormula>
    </tableColumn>
    <tableColumn id="13" xr3:uid="{5CC85629-F2ED-4666-9F95-3CAA3096A9F4}" name="Performance Rating" dataDxfId="10">
      <calculatedColumnFormula>IF(F2&lt;=10,"On Time",IF(F2&lt;=30,"Slight Delay","Late"))</calculatedColumnFormula>
    </tableColumn>
    <tableColumn id="14" xr3:uid="{2329F118-7F47-435D-A3F7-9E192A37A4B9}" name="STATUS" dataDxfId="9">
      <calculatedColumnFormula>IF(Table242[[#This Row],[Performance Rating]]="On Time",1,0)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6"/>
  <sheetViews>
    <sheetView topLeftCell="K1" zoomScale="130" zoomScaleNormal="130" workbookViewId="0">
      <selection activeCell="N16" sqref="N16"/>
    </sheetView>
  </sheetViews>
  <sheetFormatPr defaultRowHeight="14.5" x14ac:dyDescent="0.35"/>
  <cols>
    <col min="1" max="1" width="11.54296875" style="1" customWidth="1"/>
    <col min="2" max="2" width="14.81640625" customWidth="1"/>
    <col min="3" max="3" width="15.1796875" customWidth="1"/>
    <col min="4" max="4" width="19.453125" style="2" bestFit="1" customWidth="1"/>
    <col min="5" max="5" width="18.1796875" bestFit="1" customWidth="1"/>
    <col min="6" max="6" width="19.54296875" style="3" customWidth="1"/>
    <col min="7" max="7" width="18" style="4" customWidth="1"/>
    <col min="8" max="8" width="17" style="5" customWidth="1"/>
    <col min="9" max="9" width="18.26953125" style="6" bestFit="1" customWidth="1"/>
    <col min="10" max="10" width="9" style="2" bestFit="1" customWidth="1"/>
    <col min="11" max="11" width="19" style="15" customWidth="1"/>
    <col min="12" max="12" width="20.81640625" style="1" customWidth="1"/>
    <col min="16" max="16" width="13.54296875" customWidth="1"/>
    <col min="17" max="17" width="17.81640625" customWidth="1"/>
    <col min="18" max="18" width="13.54296875" bestFit="1" customWidth="1"/>
  </cols>
  <sheetData>
    <row r="1" spans="1:18" x14ac:dyDescent="0.35">
      <c r="A1" s="7" t="s">
        <v>603</v>
      </c>
      <c r="B1" s="8" t="s">
        <v>604</v>
      </c>
      <c r="C1" s="8" t="s">
        <v>605</v>
      </c>
      <c r="D1" s="9" t="s">
        <v>606</v>
      </c>
      <c r="E1" s="8" t="s">
        <v>607</v>
      </c>
      <c r="F1" s="10" t="s">
        <v>608</v>
      </c>
      <c r="G1" s="11" t="s">
        <v>609</v>
      </c>
      <c r="H1" s="12" t="s">
        <v>610</v>
      </c>
      <c r="I1" s="13" t="s">
        <v>611</v>
      </c>
      <c r="J1" s="9" t="s">
        <v>0</v>
      </c>
      <c r="K1" s="14" t="s">
        <v>612</v>
      </c>
      <c r="L1" s="17" t="s">
        <v>614</v>
      </c>
      <c r="O1" s="19" t="s">
        <v>615</v>
      </c>
      <c r="P1" t="s">
        <v>616</v>
      </c>
      <c r="Q1" t="s">
        <v>614</v>
      </c>
    </row>
    <row r="2" spans="1:18" x14ac:dyDescent="0.35">
      <c r="A2" t="s">
        <v>1</v>
      </c>
      <c r="B2" t="s">
        <v>347</v>
      </c>
      <c r="C2" t="s">
        <v>581</v>
      </c>
      <c r="D2" s="2" t="s">
        <v>585</v>
      </c>
      <c r="E2" s="1" t="s">
        <v>592</v>
      </c>
      <c r="F2" s="3">
        <v>122</v>
      </c>
      <c r="G2" s="4">
        <v>140000</v>
      </c>
      <c r="H2" s="5">
        <v>94</v>
      </c>
      <c r="I2" s="6">
        <v>45682</v>
      </c>
      <c r="J2" s="2" t="s">
        <v>597</v>
      </c>
      <c r="K2" s="15">
        <f>PRODUCT(Table2[[#This Row],[Ticket Price]],Table2[[#This Row],[Passenger Count]])</f>
        <v>13160000</v>
      </c>
      <c r="L2" s="15">
        <f>Table2[[#This Row],[Revenue]]*(1-$O$2)</f>
        <v>11844000</v>
      </c>
      <c r="O2" s="18">
        <f>10/100</f>
        <v>0.1</v>
      </c>
      <c r="P2" s="15">
        <f>Table2[[#This Row],[Revenue]]*O2</f>
        <v>1316000</v>
      </c>
      <c r="Q2" s="15">
        <f>Table2[[#This Row],[Revenue]]-P2</f>
        <v>11844000</v>
      </c>
      <c r="R2" s="15"/>
    </row>
    <row r="3" spans="1:18" x14ac:dyDescent="0.35">
      <c r="A3" t="s">
        <v>2</v>
      </c>
      <c r="B3" t="s">
        <v>348</v>
      </c>
      <c r="C3" t="s">
        <v>582</v>
      </c>
      <c r="D3" s="2" t="s">
        <v>589</v>
      </c>
      <c r="E3" s="1" t="s">
        <v>593</v>
      </c>
      <c r="F3" s="3">
        <v>149</v>
      </c>
      <c r="G3" s="4">
        <v>100000</v>
      </c>
      <c r="H3" s="5">
        <v>129</v>
      </c>
      <c r="I3" s="6">
        <v>45778</v>
      </c>
      <c r="J3" s="2" t="s">
        <v>598</v>
      </c>
      <c r="K3" s="15">
        <f>PRODUCT(Table2[[#This Row],[Ticket Price]],Table2[[#This Row],[Passenger Count]])</f>
        <v>12900000</v>
      </c>
      <c r="L3" s="15">
        <f>Table2[[#This Row],[Revenue]]*(1-$O$2)</f>
        <v>11610000</v>
      </c>
    </row>
    <row r="4" spans="1:18" x14ac:dyDescent="0.35">
      <c r="A4" t="s">
        <v>601</v>
      </c>
      <c r="B4" t="s">
        <v>349</v>
      </c>
      <c r="C4" t="s">
        <v>581</v>
      </c>
      <c r="D4" s="2" t="s">
        <v>584</v>
      </c>
      <c r="E4" s="1" t="s">
        <v>594</v>
      </c>
      <c r="F4" s="3">
        <v>127</v>
      </c>
      <c r="G4" s="4">
        <v>70000</v>
      </c>
      <c r="H4" s="5">
        <v>125</v>
      </c>
      <c r="I4" s="6">
        <v>45670</v>
      </c>
      <c r="J4" s="2" t="s">
        <v>597</v>
      </c>
      <c r="K4" s="15">
        <f>PRODUCT(Table2[[#This Row],[Ticket Price]],Table2[[#This Row],[Passenger Count]])</f>
        <v>8750000</v>
      </c>
      <c r="L4" s="15">
        <f>Table2[[#This Row],[Revenue]]*(1-$O$2)</f>
        <v>7875000</v>
      </c>
    </row>
    <row r="5" spans="1:18" x14ac:dyDescent="0.35">
      <c r="A5" t="s">
        <v>3</v>
      </c>
      <c r="B5" t="s">
        <v>350</v>
      </c>
      <c r="C5" t="s">
        <v>583</v>
      </c>
      <c r="D5" s="2" t="s">
        <v>587</v>
      </c>
      <c r="E5" s="1" t="s">
        <v>595</v>
      </c>
      <c r="F5" s="3">
        <v>-4</v>
      </c>
      <c r="G5" s="4">
        <v>65000</v>
      </c>
      <c r="H5" s="5">
        <v>88</v>
      </c>
      <c r="I5" s="6">
        <v>45742</v>
      </c>
      <c r="J5" s="2" t="s">
        <v>597</v>
      </c>
      <c r="K5" s="15">
        <f>PRODUCT(Table2[[#This Row],[Ticket Price]],Table2[[#This Row],[Passenger Count]])</f>
        <v>5720000</v>
      </c>
      <c r="L5" s="15">
        <f>Table2[[#This Row],[Revenue]]*(1-$O$2)</f>
        <v>5148000</v>
      </c>
    </row>
    <row r="6" spans="1:18" x14ac:dyDescent="0.35">
      <c r="A6" t="s">
        <v>4</v>
      </c>
      <c r="B6" t="s">
        <v>351</v>
      </c>
      <c r="C6" t="s">
        <v>584</v>
      </c>
      <c r="D6" s="2" t="s">
        <v>582</v>
      </c>
      <c r="E6" s="1" t="s">
        <v>592</v>
      </c>
      <c r="F6" s="3">
        <v>161</v>
      </c>
      <c r="G6" s="4">
        <v>130000</v>
      </c>
      <c r="H6" s="5">
        <v>159</v>
      </c>
      <c r="I6" s="6">
        <v>45742</v>
      </c>
      <c r="J6" s="2" t="s">
        <v>597</v>
      </c>
      <c r="K6" s="15">
        <f>PRODUCT(Table2[[#This Row],[Ticket Price]],Table2[[#This Row],[Passenger Count]])</f>
        <v>20670000</v>
      </c>
      <c r="L6" s="15">
        <f>Table2[[#This Row],[Revenue]]*(1-$O$2)</f>
        <v>18603000</v>
      </c>
    </row>
    <row r="7" spans="1:18" x14ac:dyDescent="0.35">
      <c r="A7" t="s">
        <v>5</v>
      </c>
      <c r="B7" t="s">
        <v>352</v>
      </c>
      <c r="C7" t="s">
        <v>584</v>
      </c>
      <c r="D7" s="2" t="s">
        <v>590</v>
      </c>
      <c r="E7" s="1" t="s">
        <v>596</v>
      </c>
      <c r="F7" s="3">
        <v>112</v>
      </c>
      <c r="G7" s="4">
        <v>40000</v>
      </c>
      <c r="H7" s="5">
        <v>84</v>
      </c>
      <c r="I7" s="6">
        <v>45688</v>
      </c>
      <c r="J7" s="2" t="s">
        <v>598</v>
      </c>
      <c r="K7" s="15">
        <f>PRODUCT(Table2[[#This Row],[Ticket Price]],Table2[[#This Row],[Passenger Count]])</f>
        <v>3360000</v>
      </c>
      <c r="L7" s="15">
        <f>Table2[[#This Row],[Revenue]]*(1-$O$2)</f>
        <v>3024000</v>
      </c>
    </row>
    <row r="8" spans="1:18" x14ac:dyDescent="0.35">
      <c r="A8" t="s">
        <v>6</v>
      </c>
      <c r="B8" t="s">
        <v>353</v>
      </c>
      <c r="C8" t="s">
        <v>583</v>
      </c>
      <c r="D8" s="2" t="s">
        <v>591</v>
      </c>
      <c r="E8" s="1" t="s">
        <v>593</v>
      </c>
      <c r="F8" s="3">
        <v>107</v>
      </c>
      <c r="G8" s="4">
        <v>145000</v>
      </c>
      <c r="H8" s="5">
        <v>60</v>
      </c>
      <c r="I8" s="6">
        <v>45733</v>
      </c>
      <c r="J8" s="2" t="s">
        <v>597</v>
      </c>
      <c r="K8" s="15">
        <f>PRODUCT(Table2[[#This Row],[Ticket Price]],Table2[[#This Row],[Passenger Count]])</f>
        <v>8700000</v>
      </c>
      <c r="L8" s="15">
        <f>Table2[[#This Row],[Revenue]]*(1-$O$2)</f>
        <v>7830000</v>
      </c>
    </row>
    <row r="9" spans="1:18" x14ac:dyDescent="0.35">
      <c r="A9" t="s">
        <v>602</v>
      </c>
      <c r="B9" t="s">
        <v>354</v>
      </c>
      <c r="C9" t="s">
        <v>585</v>
      </c>
      <c r="D9" s="2" t="s">
        <v>584</v>
      </c>
      <c r="E9" s="1" t="s">
        <v>593</v>
      </c>
      <c r="F9" s="3">
        <v>73</v>
      </c>
      <c r="G9" s="4">
        <v>60000</v>
      </c>
      <c r="H9" s="5">
        <v>175</v>
      </c>
      <c r="I9" s="6">
        <v>45707</v>
      </c>
      <c r="J9" s="2" t="s">
        <v>598</v>
      </c>
      <c r="K9" s="15">
        <f>PRODUCT(Table2[[#This Row],[Ticket Price]],Table2[[#This Row],[Passenger Count]])</f>
        <v>10500000</v>
      </c>
      <c r="L9" s="15">
        <f>Table2[[#This Row],[Revenue]]*(1-$O$2)</f>
        <v>9450000</v>
      </c>
    </row>
    <row r="10" spans="1:18" x14ac:dyDescent="0.35">
      <c r="A10" t="s">
        <v>7</v>
      </c>
      <c r="B10" t="s">
        <v>355</v>
      </c>
      <c r="C10" t="s">
        <v>584</v>
      </c>
      <c r="D10" s="2" t="s">
        <v>585</v>
      </c>
      <c r="E10" s="1" t="s">
        <v>596</v>
      </c>
      <c r="F10" s="3">
        <v>148</v>
      </c>
      <c r="G10" s="4">
        <v>35000</v>
      </c>
      <c r="H10" s="5">
        <v>149</v>
      </c>
      <c r="I10" s="6">
        <v>45837</v>
      </c>
      <c r="J10" s="2" t="s">
        <v>598</v>
      </c>
      <c r="K10" s="15">
        <f>PRODUCT(Table2[[#This Row],[Ticket Price]],Table2[[#This Row],[Passenger Count]])</f>
        <v>5215000</v>
      </c>
      <c r="L10" s="15">
        <f>Table2[[#This Row],[Revenue]]*(1-$O$2)</f>
        <v>4693500</v>
      </c>
    </row>
    <row r="11" spans="1:18" x14ac:dyDescent="0.35">
      <c r="A11" t="s">
        <v>8</v>
      </c>
      <c r="B11" t="s">
        <v>356</v>
      </c>
      <c r="C11" t="s">
        <v>581</v>
      </c>
      <c r="D11" s="2" t="s">
        <v>589</v>
      </c>
      <c r="E11" s="1" t="s">
        <v>592</v>
      </c>
      <c r="F11" s="3">
        <v>98</v>
      </c>
      <c r="G11" s="4">
        <v>75000</v>
      </c>
      <c r="H11" s="5">
        <v>131</v>
      </c>
      <c r="I11" s="6">
        <v>45702</v>
      </c>
      <c r="J11" s="2" t="s">
        <v>598</v>
      </c>
      <c r="K11" s="15">
        <f>PRODUCT(Table2[[#This Row],[Ticket Price]],Table2[[#This Row],[Passenger Count]])</f>
        <v>9825000</v>
      </c>
      <c r="L11" s="15">
        <f>Table2[[#This Row],[Revenue]]*(1-$O$2)</f>
        <v>8842500</v>
      </c>
    </row>
    <row r="12" spans="1:18" x14ac:dyDescent="0.35">
      <c r="A12" t="s">
        <v>9</v>
      </c>
      <c r="B12" t="s">
        <v>357</v>
      </c>
      <c r="C12" t="s">
        <v>583</v>
      </c>
      <c r="D12" s="2" t="s">
        <v>590</v>
      </c>
      <c r="E12" s="1" t="s">
        <v>593</v>
      </c>
      <c r="F12" s="3">
        <v>75</v>
      </c>
      <c r="G12" s="4">
        <v>30000</v>
      </c>
      <c r="H12" s="5">
        <v>96</v>
      </c>
      <c r="I12" s="6">
        <v>45747</v>
      </c>
      <c r="J12" s="2" t="s">
        <v>597</v>
      </c>
      <c r="K12" s="15">
        <f>PRODUCT(Table2[[#This Row],[Ticket Price]],Table2[[#This Row],[Passenger Count]])</f>
        <v>2880000</v>
      </c>
      <c r="L12" s="15">
        <f>Table2[[#This Row],[Revenue]]*(1-$O$2)</f>
        <v>2592000</v>
      </c>
    </row>
    <row r="13" spans="1:18" x14ac:dyDescent="0.35">
      <c r="A13" t="s">
        <v>10</v>
      </c>
      <c r="B13" t="s">
        <v>358</v>
      </c>
      <c r="C13" t="s">
        <v>585</v>
      </c>
      <c r="D13" s="2" t="s">
        <v>591</v>
      </c>
      <c r="E13" s="1" t="s">
        <v>596</v>
      </c>
      <c r="F13" s="3">
        <v>33</v>
      </c>
      <c r="G13" s="4">
        <v>145000</v>
      </c>
      <c r="H13" s="5">
        <v>159</v>
      </c>
      <c r="I13" s="6">
        <v>45782</v>
      </c>
      <c r="J13" s="2" t="s">
        <v>597</v>
      </c>
      <c r="K13" s="15">
        <f>PRODUCT(Table2[[#This Row],[Ticket Price]],Table2[[#This Row],[Passenger Count]])</f>
        <v>23055000</v>
      </c>
      <c r="L13" s="15">
        <f>Table2[[#This Row],[Revenue]]*(1-$O$2)</f>
        <v>20749500</v>
      </c>
    </row>
    <row r="14" spans="1:18" x14ac:dyDescent="0.35">
      <c r="A14" t="s">
        <v>11</v>
      </c>
      <c r="B14" t="s">
        <v>359</v>
      </c>
      <c r="C14" t="s">
        <v>586</v>
      </c>
      <c r="D14" s="2" t="s">
        <v>585</v>
      </c>
      <c r="E14" s="1" t="s">
        <v>596</v>
      </c>
      <c r="F14" s="3">
        <v>164</v>
      </c>
      <c r="G14" s="4">
        <v>140000</v>
      </c>
      <c r="H14" s="5">
        <v>103</v>
      </c>
      <c r="I14" s="6">
        <v>45755</v>
      </c>
      <c r="J14" s="2" t="s">
        <v>597</v>
      </c>
      <c r="K14" s="15">
        <f>PRODUCT(Table2[[#This Row],[Ticket Price]],Table2[[#This Row],[Passenger Count]])</f>
        <v>14420000</v>
      </c>
      <c r="L14" s="15">
        <f>Table2[[#This Row],[Revenue]]*(1-$O$2)</f>
        <v>12978000</v>
      </c>
    </row>
    <row r="15" spans="1:18" x14ac:dyDescent="0.35">
      <c r="A15" t="s">
        <v>12</v>
      </c>
      <c r="B15" t="s">
        <v>360</v>
      </c>
      <c r="C15" t="s">
        <v>585</v>
      </c>
      <c r="D15" s="2" t="s">
        <v>582</v>
      </c>
      <c r="E15" s="1" t="s">
        <v>592</v>
      </c>
      <c r="F15" s="3">
        <v>138</v>
      </c>
      <c r="G15" s="4">
        <v>145000</v>
      </c>
      <c r="H15" s="5">
        <v>141</v>
      </c>
      <c r="I15" s="6">
        <v>45811</v>
      </c>
      <c r="J15" s="2" t="s">
        <v>597</v>
      </c>
      <c r="K15" s="15">
        <f>PRODUCT(Table2[[#This Row],[Ticket Price]],Table2[[#This Row],[Passenger Count]])</f>
        <v>20445000</v>
      </c>
      <c r="L15" s="15">
        <f>Table2[[#This Row],[Revenue]]*(1-$O$2)</f>
        <v>18400500</v>
      </c>
    </row>
    <row r="16" spans="1:18" x14ac:dyDescent="0.35">
      <c r="A16" t="s">
        <v>13</v>
      </c>
      <c r="B16" t="s">
        <v>361</v>
      </c>
      <c r="C16" t="s">
        <v>585</v>
      </c>
      <c r="D16" s="2" t="s">
        <v>590</v>
      </c>
      <c r="E16" s="1" t="s">
        <v>592</v>
      </c>
      <c r="F16" s="3">
        <v>45</v>
      </c>
      <c r="G16" s="4">
        <v>100000</v>
      </c>
      <c r="H16" s="5">
        <v>121</v>
      </c>
      <c r="I16" s="6">
        <v>45813</v>
      </c>
      <c r="J16" s="2" t="s">
        <v>598</v>
      </c>
      <c r="K16" s="15">
        <f>PRODUCT(Table2[[#This Row],[Ticket Price]],Table2[[#This Row],[Passenger Count]])</f>
        <v>12100000</v>
      </c>
      <c r="L16" s="15">
        <f>Table2[[#This Row],[Revenue]]*(1-$O$2)</f>
        <v>10890000</v>
      </c>
    </row>
    <row r="17" spans="1:12" x14ac:dyDescent="0.35">
      <c r="A17" t="s">
        <v>599</v>
      </c>
      <c r="B17" t="s">
        <v>362</v>
      </c>
      <c r="C17" t="s">
        <v>581</v>
      </c>
      <c r="D17" s="2" t="s">
        <v>583</v>
      </c>
      <c r="E17" s="1" t="s">
        <v>593</v>
      </c>
      <c r="F17" s="3">
        <v>22</v>
      </c>
      <c r="G17" s="4">
        <v>90000</v>
      </c>
      <c r="H17" s="5">
        <v>72</v>
      </c>
      <c r="I17" s="6">
        <v>45724</v>
      </c>
      <c r="J17" s="2" t="s">
        <v>597</v>
      </c>
      <c r="K17" s="15">
        <f>PRODUCT(Table2[[#This Row],[Ticket Price]],Table2[[#This Row],[Passenger Count]])</f>
        <v>6480000</v>
      </c>
      <c r="L17" s="15">
        <f>Table2[[#This Row],[Revenue]]*(1-$O$2)</f>
        <v>5832000</v>
      </c>
    </row>
    <row r="18" spans="1:12" x14ac:dyDescent="0.35">
      <c r="A18" t="s">
        <v>14</v>
      </c>
      <c r="B18" t="s">
        <v>363</v>
      </c>
      <c r="C18" t="s">
        <v>584</v>
      </c>
      <c r="D18" s="2" t="s">
        <v>587</v>
      </c>
      <c r="E18" s="1" t="s">
        <v>595</v>
      </c>
      <c r="F18" s="3">
        <v>15</v>
      </c>
      <c r="G18" s="4">
        <v>70000</v>
      </c>
      <c r="H18" s="5">
        <v>71</v>
      </c>
      <c r="I18" s="6">
        <v>45776</v>
      </c>
      <c r="J18" s="2" t="s">
        <v>598</v>
      </c>
      <c r="K18" s="15">
        <f>PRODUCT(Table2[[#This Row],[Ticket Price]],Table2[[#This Row],[Passenger Count]])</f>
        <v>4970000</v>
      </c>
      <c r="L18" s="15">
        <f>Table2[[#This Row],[Revenue]]*(1-$O$2)</f>
        <v>4473000</v>
      </c>
    </row>
    <row r="19" spans="1:12" x14ac:dyDescent="0.35">
      <c r="A19" t="s">
        <v>15</v>
      </c>
      <c r="B19" t="s">
        <v>364</v>
      </c>
      <c r="C19" t="s">
        <v>586</v>
      </c>
      <c r="D19" s="2" t="s">
        <v>583</v>
      </c>
      <c r="E19" s="1" t="s">
        <v>593</v>
      </c>
      <c r="F19" s="3">
        <v>102</v>
      </c>
      <c r="G19" s="4">
        <v>30000</v>
      </c>
      <c r="H19" s="5">
        <v>118</v>
      </c>
      <c r="I19" s="6">
        <v>45787</v>
      </c>
      <c r="J19" s="2" t="s">
        <v>597</v>
      </c>
      <c r="K19" s="15">
        <f>PRODUCT(Table2[[#This Row],[Ticket Price]],Table2[[#This Row],[Passenger Count]])</f>
        <v>3540000</v>
      </c>
      <c r="L19" s="15">
        <f>Table2[[#This Row],[Revenue]]*(1-$O$2)</f>
        <v>3186000</v>
      </c>
    </row>
    <row r="20" spans="1:12" x14ac:dyDescent="0.35">
      <c r="A20" t="s">
        <v>16</v>
      </c>
      <c r="B20" t="s">
        <v>365</v>
      </c>
      <c r="C20" t="s">
        <v>586</v>
      </c>
      <c r="D20" s="2" t="s">
        <v>582</v>
      </c>
      <c r="E20" s="1" t="s">
        <v>595</v>
      </c>
      <c r="F20" s="3">
        <v>90</v>
      </c>
      <c r="G20" s="4">
        <v>60000</v>
      </c>
      <c r="H20" s="5">
        <v>171</v>
      </c>
      <c r="I20" s="6">
        <v>45735</v>
      </c>
      <c r="J20" s="2" t="s">
        <v>597</v>
      </c>
      <c r="K20" s="15">
        <f>PRODUCT(Table2[[#This Row],[Ticket Price]],Table2[[#This Row],[Passenger Count]])</f>
        <v>10260000</v>
      </c>
      <c r="L20" s="15">
        <f>Table2[[#This Row],[Revenue]]*(1-$O$2)</f>
        <v>9234000</v>
      </c>
    </row>
    <row r="21" spans="1:12" x14ac:dyDescent="0.35">
      <c r="A21" t="s">
        <v>17</v>
      </c>
      <c r="B21" t="s">
        <v>366</v>
      </c>
      <c r="C21" t="s">
        <v>586</v>
      </c>
      <c r="D21" s="2" t="s">
        <v>584</v>
      </c>
      <c r="E21" s="1" t="s">
        <v>594</v>
      </c>
      <c r="F21" s="3">
        <v>34</v>
      </c>
      <c r="G21" s="4">
        <v>75000</v>
      </c>
      <c r="H21" s="5">
        <v>67</v>
      </c>
      <c r="I21" s="6">
        <v>45692</v>
      </c>
      <c r="J21" s="2" t="s">
        <v>598</v>
      </c>
      <c r="K21" s="15">
        <f>PRODUCT(Table2[[#This Row],[Ticket Price]],Table2[[#This Row],[Passenger Count]])</f>
        <v>5025000</v>
      </c>
      <c r="L21" s="15">
        <f>Table2[[#This Row],[Revenue]]*(1-$O$2)</f>
        <v>4522500</v>
      </c>
    </row>
    <row r="22" spans="1:12" x14ac:dyDescent="0.35">
      <c r="A22" t="s">
        <v>18</v>
      </c>
      <c r="B22" t="s">
        <v>367</v>
      </c>
      <c r="C22" t="s">
        <v>584</v>
      </c>
      <c r="D22" s="2" t="s">
        <v>587</v>
      </c>
      <c r="E22" s="1" t="s">
        <v>596</v>
      </c>
      <c r="F22" s="3">
        <v>97</v>
      </c>
      <c r="G22" s="4">
        <v>135000</v>
      </c>
      <c r="H22" s="5">
        <v>70</v>
      </c>
      <c r="I22" s="6">
        <v>45764</v>
      </c>
      <c r="J22" s="2" t="s">
        <v>597</v>
      </c>
      <c r="K22" s="15">
        <f>PRODUCT(Table2[[#This Row],[Ticket Price]],Table2[[#This Row],[Passenger Count]])</f>
        <v>9450000</v>
      </c>
      <c r="L22" s="15">
        <f>Table2[[#This Row],[Revenue]]*(1-$O$2)</f>
        <v>8505000</v>
      </c>
    </row>
    <row r="23" spans="1:12" x14ac:dyDescent="0.35">
      <c r="A23" t="s">
        <v>19</v>
      </c>
      <c r="B23" t="s">
        <v>368</v>
      </c>
      <c r="C23" t="s">
        <v>585</v>
      </c>
      <c r="D23" s="2" t="s">
        <v>590</v>
      </c>
      <c r="E23" s="1" t="s">
        <v>592</v>
      </c>
      <c r="F23" s="3">
        <v>136</v>
      </c>
      <c r="G23" s="4">
        <v>55000</v>
      </c>
      <c r="H23" s="5">
        <v>92</v>
      </c>
      <c r="I23" s="6">
        <v>45728</v>
      </c>
      <c r="J23" s="2" t="s">
        <v>598</v>
      </c>
      <c r="K23" s="15">
        <f>PRODUCT(Table2[[#This Row],[Ticket Price]],Table2[[#This Row],[Passenger Count]])</f>
        <v>5060000</v>
      </c>
      <c r="L23" s="15">
        <f>Table2[[#This Row],[Revenue]]*(1-$O$2)</f>
        <v>4554000</v>
      </c>
    </row>
    <row r="24" spans="1:12" x14ac:dyDescent="0.35">
      <c r="A24" t="s">
        <v>20</v>
      </c>
      <c r="B24" t="s">
        <v>369</v>
      </c>
      <c r="C24" t="s">
        <v>584</v>
      </c>
      <c r="D24" s="2" t="s">
        <v>587</v>
      </c>
      <c r="E24" s="1" t="s">
        <v>596</v>
      </c>
      <c r="F24" s="3">
        <v>164</v>
      </c>
      <c r="G24" s="4">
        <v>85000</v>
      </c>
      <c r="H24" s="5">
        <v>165</v>
      </c>
      <c r="I24" s="6">
        <v>45807</v>
      </c>
      <c r="J24" s="2" t="s">
        <v>598</v>
      </c>
      <c r="K24" s="15">
        <f>PRODUCT(Table2[[#This Row],[Ticket Price]],Table2[[#This Row],[Passenger Count]])</f>
        <v>14025000</v>
      </c>
      <c r="L24" s="15">
        <f>Table2[[#This Row],[Revenue]]*(1-$O$2)</f>
        <v>12622500</v>
      </c>
    </row>
    <row r="25" spans="1:12" x14ac:dyDescent="0.35">
      <c r="A25" t="s">
        <v>21</v>
      </c>
      <c r="B25" t="s">
        <v>370</v>
      </c>
      <c r="C25" t="s">
        <v>582</v>
      </c>
      <c r="D25" s="2" t="s">
        <v>589</v>
      </c>
      <c r="E25" s="1" t="s">
        <v>593</v>
      </c>
      <c r="F25" s="3">
        <v>68</v>
      </c>
      <c r="G25" s="4">
        <v>135000</v>
      </c>
      <c r="H25" s="5">
        <v>177</v>
      </c>
      <c r="I25" s="6">
        <v>45817</v>
      </c>
      <c r="J25" s="2" t="s">
        <v>597</v>
      </c>
      <c r="K25" s="15">
        <f>PRODUCT(Table2[[#This Row],[Ticket Price]],Table2[[#This Row],[Passenger Count]])</f>
        <v>23895000</v>
      </c>
      <c r="L25" s="15">
        <f>Table2[[#This Row],[Revenue]]*(1-$O$2)</f>
        <v>21505500</v>
      </c>
    </row>
    <row r="26" spans="1:12" x14ac:dyDescent="0.35">
      <c r="A26" t="s">
        <v>22</v>
      </c>
      <c r="B26" t="s">
        <v>371</v>
      </c>
      <c r="C26" t="s">
        <v>586</v>
      </c>
      <c r="D26" s="2" t="s">
        <v>585</v>
      </c>
      <c r="E26" s="1" t="s">
        <v>596</v>
      </c>
      <c r="F26" s="3">
        <v>144</v>
      </c>
      <c r="G26" s="4">
        <v>135000</v>
      </c>
      <c r="H26" s="5">
        <v>167</v>
      </c>
      <c r="I26" s="6">
        <v>45769</v>
      </c>
      <c r="J26" s="2" t="s">
        <v>597</v>
      </c>
      <c r="K26" s="15">
        <f>PRODUCT(Table2[[#This Row],[Ticket Price]],Table2[[#This Row],[Passenger Count]])</f>
        <v>22545000</v>
      </c>
      <c r="L26" s="15">
        <f>Table2[[#This Row],[Revenue]]*(1-$O$2)</f>
        <v>20290500</v>
      </c>
    </row>
    <row r="27" spans="1:12" x14ac:dyDescent="0.35">
      <c r="A27" t="s">
        <v>23</v>
      </c>
      <c r="B27" t="s">
        <v>372</v>
      </c>
      <c r="C27" t="s">
        <v>582</v>
      </c>
      <c r="D27" s="2" t="s">
        <v>583</v>
      </c>
      <c r="E27" s="1" t="s">
        <v>595</v>
      </c>
      <c r="F27" s="3">
        <v>7</v>
      </c>
      <c r="G27" s="4">
        <v>35000</v>
      </c>
      <c r="H27" s="5">
        <v>78</v>
      </c>
      <c r="I27" s="6">
        <v>45726</v>
      </c>
      <c r="J27" s="2" t="s">
        <v>598</v>
      </c>
      <c r="K27" s="15">
        <f>PRODUCT(Table2[[#This Row],[Ticket Price]],Table2[[#This Row],[Passenger Count]])</f>
        <v>2730000</v>
      </c>
      <c r="L27" s="15">
        <f>Table2[[#This Row],[Revenue]]*(1-$O$2)</f>
        <v>2457000</v>
      </c>
    </row>
    <row r="28" spans="1:12" x14ac:dyDescent="0.35">
      <c r="A28" t="s">
        <v>24</v>
      </c>
      <c r="B28" t="s">
        <v>373</v>
      </c>
      <c r="C28" t="s">
        <v>584</v>
      </c>
      <c r="D28" s="2" t="s">
        <v>587</v>
      </c>
      <c r="E28" s="1" t="s">
        <v>593</v>
      </c>
      <c r="F28" s="3">
        <v>122</v>
      </c>
      <c r="G28" s="4">
        <v>25000</v>
      </c>
      <c r="H28" s="5">
        <v>177</v>
      </c>
      <c r="I28" s="6">
        <v>45696</v>
      </c>
      <c r="J28" s="2" t="s">
        <v>598</v>
      </c>
      <c r="K28" s="15">
        <f>PRODUCT(Table2[[#This Row],[Ticket Price]],Table2[[#This Row],[Passenger Count]])</f>
        <v>4425000</v>
      </c>
      <c r="L28" s="15">
        <f>Table2[[#This Row],[Revenue]]*(1-$O$2)</f>
        <v>3982500</v>
      </c>
    </row>
    <row r="29" spans="1:12" x14ac:dyDescent="0.35">
      <c r="A29" t="s">
        <v>25</v>
      </c>
      <c r="B29" t="s">
        <v>374</v>
      </c>
      <c r="C29" t="s">
        <v>585</v>
      </c>
      <c r="D29" s="2" t="s">
        <v>591</v>
      </c>
      <c r="E29" s="1" t="s">
        <v>594</v>
      </c>
      <c r="F29" s="3">
        <v>6</v>
      </c>
      <c r="G29" s="4">
        <v>125000</v>
      </c>
      <c r="H29" s="5">
        <v>117</v>
      </c>
      <c r="I29" s="6">
        <v>45663</v>
      </c>
      <c r="J29" s="2" t="s">
        <v>597</v>
      </c>
      <c r="K29" s="15">
        <f>PRODUCT(Table2[[#This Row],[Ticket Price]],Table2[[#This Row],[Passenger Count]])</f>
        <v>14625000</v>
      </c>
      <c r="L29" s="15">
        <f>Table2[[#This Row],[Revenue]]*(1-$O$2)</f>
        <v>13162500</v>
      </c>
    </row>
    <row r="30" spans="1:12" x14ac:dyDescent="0.35">
      <c r="A30" t="s">
        <v>26</v>
      </c>
      <c r="B30" t="s">
        <v>375</v>
      </c>
      <c r="C30" t="s">
        <v>587</v>
      </c>
      <c r="D30" s="2" t="s">
        <v>591</v>
      </c>
      <c r="E30" s="1" t="s">
        <v>594</v>
      </c>
      <c r="F30" s="3">
        <v>128</v>
      </c>
      <c r="G30" s="4">
        <v>90000</v>
      </c>
      <c r="H30" s="5">
        <v>164</v>
      </c>
      <c r="I30" s="6">
        <v>45804</v>
      </c>
      <c r="J30" s="2" t="s">
        <v>597</v>
      </c>
      <c r="K30" s="15">
        <f>PRODUCT(Table2[[#This Row],[Ticket Price]],Table2[[#This Row],[Passenger Count]])</f>
        <v>14760000</v>
      </c>
      <c r="L30" s="15">
        <f>Table2[[#This Row],[Revenue]]*(1-$O$2)</f>
        <v>13284000</v>
      </c>
    </row>
    <row r="31" spans="1:12" x14ac:dyDescent="0.35">
      <c r="A31" t="s">
        <v>27</v>
      </c>
      <c r="B31" t="s">
        <v>376</v>
      </c>
      <c r="C31" t="s">
        <v>582</v>
      </c>
      <c r="D31" s="2" t="s">
        <v>583</v>
      </c>
      <c r="E31" s="1" t="s">
        <v>594</v>
      </c>
      <c r="F31" s="3">
        <v>41</v>
      </c>
      <c r="G31" s="4">
        <v>30000</v>
      </c>
      <c r="H31" s="5">
        <v>88</v>
      </c>
      <c r="I31" s="6">
        <v>45819</v>
      </c>
      <c r="J31" s="2" t="s">
        <v>597</v>
      </c>
      <c r="K31" s="15">
        <f>PRODUCT(Table2[[#This Row],[Ticket Price]],Table2[[#This Row],[Passenger Count]])</f>
        <v>2640000</v>
      </c>
      <c r="L31" s="15">
        <f>Table2[[#This Row],[Revenue]]*(1-$O$2)</f>
        <v>2376000</v>
      </c>
    </row>
    <row r="32" spans="1:12" x14ac:dyDescent="0.35">
      <c r="A32" t="s">
        <v>28</v>
      </c>
      <c r="B32" t="s">
        <v>377</v>
      </c>
      <c r="C32" t="s">
        <v>584</v>
      </c>
      <c r="D32" s="2" t="s">
        <v>583</v>
      </c>
      <c r="E32" s="1" t="s">
        <v>595</v>
      </c>
      <c r="F32" s="3">
        <v>99</v>
      </c>
      <c r="G32" s="4">
        <v>80000</v>
      </c>
      <c r="H32" s="5">
        <v>77</v>
      </c>
      <c r="I32" s="6">
        <v>45698</v>
      </c>
      <c r="J32" s="2" t="s">
        <v>597</v>
      </c>
      <c r="K32" s="15">
        <f>PRODUCT(Table2[[#This Row],[Ticket Price]],Table2[[#This Row],[Passenger Count]])</f>
        <v>6160000</v>
      </c>
      <c r="L32" s="15">
        <f>Table2[[#This Row],[Revenue]]*(1-$O$2)</f>
        <v>5544000</v>
      </c>
    </row>
    <row r="33" spans="1:12" x14ac:dyDescent="0.35">
      <c r="A33" t="s">
        <v>29</v>
      </c>
      <c r="B33" t="s">
        <v>378</v>
      </c>
      <c r="C33" t="s">
        <v>587</v>
      </c>
      <c r="D33" s="2" t="s">
        <v>591</v>
      </c>
      <c r="E33" s="1" t="s">
        <v>595</v>
      </c>
      <c r="F33" s="3">
        <v>4</v>
      </c>
      <c r="G33" s="4">
        <v>140000</v>
      </c>
      <c r="H33" s="5">
        <v>106</v>
      </c>
      <c r="I33" s="6">
        <v>45731</v>
      </c>
      <c r="J33" s="2" t="s">
        <v>597</v>
      </c>
      <c r="K33" s="15">
        <f>PRODUCT(Table2[[#This Row],[Ticket Price]],Table2[[#This Row],[Passenger Count]])</f>
        <v>14840000</v>
      </c>
      <c r="L33" s="15">
        <f>Table2[[#This Row],[Revenue]]*(1-$O$2)</f>
        <v>13356000</v>
      </c>
    </row>
    <row r="34" spans="1:12" x14ac:dyDescent="0.35">
      <c r="A34" t="s">
        <v>30</v>
      </c>
      <c r="B34" t="s">
        <v>379</v>
      </c>
      <c r="C34" t="s">
        <v>587</v>
      </c>
      <c r="D34" s="2" t="s">
        <v>583</v>
      </c>
      <c r="E34" s="1" t="s">
        <v>592</v>
      </c>
      <c r="F34" s="3">
        <v>32</v>
      </c>
      <c r="G34" s="4">
        <v>100000</v>
      </c>
      <c r="H34" s="5">
        <v>117</v>
      </c>
      <c r="I34" s="6">
        <v>45803</v>
      </c>
      <c r="J34" s="2" t="s">
        <v>597</v>
      </c>
      <c r="K34" s="15">
        <f>PRODUCT(Table2[[#This Row],[Ticket Price]],Table2[[#This Row],[Passenger Count]])</f>
        <v>11700000</v>
      </c>
      <c r="L34" s="15">
        <f>Table2[[#This Row],[Revenue]]*(1-$O$2)</f>
        <v>10530000</v>
      </c>
    </row>
    <row r="35" spans="1:12" x14ac:dyDescent="0.35">
      <c r="A35" t="s">
        <v>31</v>
      </c>
      <c r="B35" t="s">
        <v>380</v>
      </c>
      <c r="C35" t="s">
        <v>581</v>
      </c>
      <c r="D35" s="2" t="s">
        <v>591</v>
      </c>
      <c r="E35" s="1" t="s">
        <v>596</v>
      </c>
      <c r="F35" s="3">
        <v>177</v>
      </c>
      <c r="G35" s="4">
        <v>90000</v>
      </c>
      <c r="H35" s="5">
        <v>153</v>
      </c>
      <c r="I35" s="6">
        <v>45773</v>
      </c>
      <c r="J35" s="2" t="s">
        <v>598</v>
      </c>
      <c r="K35" s="15">
        <f>PRODUCT(Table2[[#This Row],[Ticket Price]],Table2[[#This Row],[Passenger Count]])</f>
        <v>13770000</v>
      </c>
      <c r="L35" s="15">
        <f>Table2[[#This Row],[Revenue]]*(1-$O$2)</f>
        <v>12393000</v>
      </c>
    </row>
    <row r="36" spans="1:12" x14ac:dyDescent="0.35">
      <c r="A36" t="s">
        <v>32</v>
      </c>
      <c r="B36" t="s">
        <v>381</v>
      </c>
      <c r="C36" t="s">
        <v>581</v>
      </c>
      <c r="D36" s="2" t="s">
        <v>582</v>
      </c>
      <c r="E36" s="1" t="s">
        <v>593</v>
      </c>
      <c r="F36" s="3">
        <v>110</v>
      </c>
      <c r="G36" s="4">
        <v>25000</v>
      </c>
      <c r="H36" s="5">
        <v>107</v>
      </c>
      <c r="I36" s="6">
        <v>45743</v>
      </c>
      <c r="J36" s="2" t="s">
        <v>598</v>
      </c>
      <c r="K36" s="15">
        <f>PRODUCT(Table2[[#This Row],[Ticket Price]],Table2[[#This Row],[Passenger Count]])</f>
        <v>2675000</v>
      </c>
      <c r="L36" s="15">
        <f>Table2[[#This Row],[Revenue]]*(1-$O$2)</f>
        <v>2407500</v>
      </c>
    </row>
    <row r="37" spans="1:12" x14ac:dyDescent="0.35">
      <c r="A37" t="s">
        <v>33</v>
      </c>
      <c r="B37" t="s">
        <v>382</v>
      </c>
      <c r="C37" t="s">
        <v>586</v>
      </c>
      <c r="D37" s="2" t="s">
        <v>584</v>
      </c>
      <c r="E37" s="1" t="s">
        <v>596</v>
      </c>
      <c r="F37" s="3">
        <v>95</v>
      </c>
      <c r="G37" s="4">
        <v>60000</v>
      </c>
      <c r="H37" s="5">
        <v>128</v>
      </c>
      <c r="I37" s="6">
        <v>45750</v>
      </c>
      <c r="J37" s="2" t="s">
        <v>598</v>
      </c>
      <c r="K37" s="15">
        <f>PRODUCT(Table2[[#This Row],[Ticket Price]],Table2[[#This Row],[Passenger Count]])</f>
        <v>7680000</v>
      </c>
      <c r="L37" s="15">
        <f>Table2[[#This Row],[Revenue]]*(1-$O$2)</f>
        <v>6912000</v>
      </c>
    </row>
    <row r="38" spans="1:12" x14ac:dyDescent="0.35">
      <c r="A38" t="s">
        <v>34</v>
      </c>
      <c r="B38" t="s">
        <v>348</v>
      </c>
      <c r="C38" t="s">
        <v>582</v>
      </c>
      <c r="D38" s="2" t="s">
        <v>587</v>
      </c>
      <c r="E38" s="1" t="s">
        <v>594</v>
      </c>
      <c r="F38" s="3">
        <v>69</v>
      </c>
      <c r="G38" s="4">
        <v>55000</v>
      </c>
      <c r="H38" s="5">
        <v>176</v>
      </c>
      <c r="I38" s="6">
        <v>45779</v>
      </c>
      <c r="J38" s="2" t="s">
        <v>597</v>
      </c>
      <c r="K38" s="15">
        <f>PRODUCT(Table2[[#This Row],[Ticket Price]],Table2[[#This Row],[Passenger Count]])</f>
        <v>9680000</v>
      </c>
      <c r="L38" s="15">
        <f>Table2[[#This Row],[Revenue]]*(1-$O$2)</f>
        <v>8712000</v>
      </c>
    </row>
    <row r="39" spans="1:12" x14ac:dyDescent="0.35">
      <c r="A39" t="s">
        <v>35</v>
      </c>
      <c r="B39" t="s">
        <v>356</v>
      </c>
      <c r="C39" t="s">
        <v>581</v>
      </c>
      <c r="D39" s="2" t="s">
        <v>590</v>
      </c>
      <c r="E39" s="1" t="s">
        <v>593</v>
      </c>
      <c r="F39" s="3">
        <v>34</v>
      </c>
      <c r="G39" s="4">
        <v>130000</v>
      </c>
      <c r="H39" s="5">
        <v>158</v>
      </c>
      <c r="I39" s="6">
        <v>45682</v>
      </c>
      <c r="J39" s="2" t="s">
        <v>597</v>
      </c>
      <c r="K39" s="15">
        <f>PRODUCT(Table2[[#This Row],[Ticket Price]],Table2[[#This Row],[Passenger Count]])</f>
        <v>20540000</v>
      </c>
      <c r="L39" s="15">
        <f>Table2[[#This Row],[Revenue]]*(1-$O$2)</f>
        <v>18486000</v>
      </c>
    </row>
    <row r="40" spans="1:12" x14ac:dyDescent="0.35">
      <c r="A40" t="s">
        <v>36</v>
      </c>
      <c r="B40" t="s">
        <v>383</v>
      </c>
      <c r="C40" t="s">
        <v>585</v>
      </c>
      <c r="D40" s="2" t="s">
        <v>590</v>
      </c>
      <c r="E40" s="1" t="s">
        <v>595</v>
      </c>
      <c r="F40" s="3">
        <v>98</v>
      </c>
      <c r="G40" s="4">
        <v>100000</v>
      </c>
      <c r="H40" s="5">
        <v>149</v>
      </c>
      <c r="I40" s="6">
        <v>45772</v>
      </c>
      <c r="J40" s="2" t="s">
        <v>598</v>
      </c>
      <c r="K40" s="15">
        <f>PRODUCT(Table2[[#This Row],[Ticket Price]],Table2[[#This Row],[Passenger Count]])</f>
        <v>14900000</v>
      </c>
      <c r="L40" s="15">
        <f>Table2[[#This Row],[Revenue]]*(1-$O$2)</f>
        <v>13410000</v>
      </c>
    </row>
    <row r="41" spans="1:12" x14ac:dyDescent="0.35">
      <c r="A41" t="s">
        <v>37</v>
      </c>
      <c r="B41" t="s">
        <v>384</v>
      </c>
      <c r="C41" t="s">
        <v>584</v>
      </c>
      <c r="D41" s="2" t="s">
        <v>582</v>
      </c>
      <c r="E41" s="1" t="s">
        <v>593</v>
      </c>
      <c r="F41" s="3">
        <v>101</v>
      </c>
      <c r="G41" s="4">
        <v>140000</v>
      </c>
      <c r="H41" s="5">
        <v>142</v>
      </c>
      <c r="I41" s="6">
        <v>45726</v>
      </c>
      <c r="J41" s="2" t="s">
        <v>598</v>
      </c>
      <c r="K41" s="15">
        <f>PRODUCT(Table2[[#This Row],[Ticket Price]],Table2[[#This Row],[Passenger Count]])</f>
        <v>19880000</v>
      </c>
      <c r="L41" s="15">
        <f>Table2[[#This Row],[Revenue]]*(1-$O$2)</f>
        <v>17892000</v>
      </c>
    </row>
    <row r="42" spans="1:12" x14ac:dyDescent="0.35">
      <c r="A42" t="s">
        <v>38</v>
      </c>
      <c r="B42" t="s">
        <v>385</v>
      </c>
      <c r="C42" t="s">
        <v>582</v>
      </c>
      <c r="D42" s="2" t="s">
        <v>583</v>
      </c>
      <c r="E42" s="1" t="s">
        <v>592</v>
      </c>
      <c r="F42" s="3">
        <v>94</v>
      </c>
      <c r="G42" s="4">
        <v>105000</v>
      </c>
      <c r="H42" s="5">
        <v>121</v>
      </c>
      <c r="I42" s="6">
        <v>45827</v>
      </c>
      <c r="J42" s="2" t="s">
        <v>597</v>
      </c>
      <c r="K42" s="15">
        <f>PRODUCT(Table2[[#This Row],[Ticket Price]],Table2[[#This Row],[Passenger Count]])</f>
        <v>12705000</v>
      </c>
      <c r="L42" s="15">
        <f>Table2[[#This Row],[Revenue]]*(1-$O$2)</f>
        <v>11434500</v>
      </c>
    </row>
    <row r="43" spans="1:12" x14ac:dyDescent="0.35">
      <c r="A43" t="s">
        <v>39</v>
      </c>
      <c r="B43" t="s">
        <v>374</v>
      </c>
      <c r="C43" t="s">
        <v>586</v>
      </c>
      <c r="D43" s="2" t="s">
        <v>591</v>
      </c>
      <c r="E43" s="1" t="s">
        <v>593</v>
      </c>
      <c r="F43" s="3">
        <v>7</v>
      </c>
      <c r="G43" s="4">
        <v>145000</v>
      </c>
      <c r="H43" s="5">
        <v>146</v>
      </c>
      <c r="I43" s="6">
        <v>45678</v>
      </c>
      <c r="J43" s="2" t="s">
        <v>598</v>
      </c>
      <c r="K43" s="15">
        <f>PRODUCT(Table2[[#This Row],[Ticket Price]],Table2[[#This Row],[Passenger Count]])</f>
        <v>21170000</v>
      </c>
      <c r="L43" s="15">
        <f>Table2[[#This Row],[Revenue]]*(1-$O$2)</f>
        <v>19053000</v>
      </c>
    </row>
    <row r="44" spans="1:12" x14ac:dyDescent="0.35">
      <c r="A44" t="s">
        <v>40</v>
      </c>
      <c r="B44" t="s">
        <v>386</v>
      </c>
      <c r="C44" t="s">
        <v>584</v>
      </c>
      <c r="D44" s="2" t="s">
        <v>585</v>
      </c>
      <c r="E44" s="1" t="s">
        <v>595</v>
      </c>
      <c r="F44" s="3">
        <v>173</v>
      </c>
      <c r="G44" s="4">
        <v>25000</v>
      </c>
      <c r="H44" s="5">
        <v>96</v>
      </c>
      <c r="I44" s="6">
        <v>45837</v>
      </c>
      <c r="J44" s="2" t="s">
        <v>598</v>
      </c>
      <c r="K44" s="15">
        <f>PRODUCT(Table2[[#This Row],[Ticket Price]],Table2[[#This Row],[Passenger Count]])</f>
        <v>2400000</v>
      </c>
      <c r="L44" s="15">
        <f>Table2[[#This Row],[Revenue]]*(1-$O$2)</f>
        <v>2160000</v>
      </c>
    </row>
    <row r="45" spans="1:12" x14ac:dyDescent="0.35">
      <c r="A45" t="s">
        <v>41</v>
      </c>
      <c r="B45" t="s">
        <v>387</v>
      </c>
      <c r="C45" t="s">
        <v>583</v>
      </c>
      <c r="D45" s="2" t="s">
        <v>587</v>
      </c>
      <c r="E45" s="1" t="s">
        <v>593</v>
      </c>
      <c r="F45" s="3">
        <v>22</v>
      </c>
      <c r="G45" s="4">
        <v>25000</v>
      </c>
      <c r="H45" s="5">
        <v>88</v>
      </c>
      <c r="I45" s="6">
        <v>45795</v>
      </c>
      <c r="J45" s="2" t="s">
        <v>598</v>
      </c>
      <c r="K45" s="15">
        <f>PRODUCT(Table2[[#This Row],[Ticket Price]],Table2[[#This Row],[Passenger Count]])</f>
        <v>2200000</v>
      </c>
      <c r="L45" s="15">
        <f>Table2[[#This Row],[Revenue]]*(1-$O$2)</f>
        <v>1980000</v>
      </c>
    </row>
    <row r="46" spans="1:12" x14ac:dyDescent="0.35">
      <c r="A46" t="s">
        <v>42</v>
      </c>
      <c r="B46" t="s">
        <v>388</v>
      </c>
      <c r="C46" t="s">
        <v>581</v>
      </c>
      <c r="D46" s="2" t="s">
        <v>590</v>
      </c>
      <c r="E46" s="1" t="s">
        <v>596</v>
      </c>
      <c r="F46" s="3">
        <v>23</v>
      </c>
      <c r="G46" s="4">
        <v>25000</v>
      </c>
      <c r="H46" s="5">
        <v>126</v>
      </c>
      <c r="I46" s="6">
        <v>45727</v>
      </c>
      <c r="J46" s="2" t="s">
        <v>598</v>
      </c>
      <c r="K46" s="15">
        <f>PRODUCT(Table2[[#This Row],[Ticket Price]],Table2[[#This Row],[Passenger Count]])</f>
        <v>3150000</v>
      </c>
      <c r="L46" s="15">
        <f>Table2[[#This Row],[Revenue]]*(1-$O$2)</f>
        <v>2835000</v>
      </c>
    </row>
    <row r="47" spans="1:12" x14ac:dyDescent="0.35">
      <c r="A47" t="s">
        <v>43</v>
      </c>
      <c r="B47" t="s">
        <v>389</v>
      </c>
      <c r="C47" t="s">
        <v>588</v>
      </c>
      <c r="D47" s="2" t="s">
        <v>589</v>
      </c>
      <c r="E47" s="1" t="s">
        <v>595</v>
      </c>
      <c r="F47" s="3">
        <v>93</v>
      </c>
      <c r="G47" s="4">
        <v>35000</v>
      </c>
      <c r="H47" s="5">
        <v>151</v>
      </c>
      <c r="I47" s="6">
        <v>45778</v>
      </c>
      <c r="J47" s="2" t="s">
        <v>598</v>
      </c>
      <c r="K47" s="15">
        <f>PRODUCT(Table2[[#This Row],[Ticket Price]],Table2[[#This Row],[Passenger Count]])</f>
        <v>5285000</v>
      </c>
      <c r="L47" s="15">
        <f>Table2[[#This Row],[Revenue]]*(1-$O$2)</f>
        <v>4756500</v>
      </c>
    </row>
    <row r="48" spans="1:12" x14ac:dyDescent="0.35">
      <c r="A48" t="s">
        <v>44</v>
      </c>
      <c r="B48" t="s">
        <v>390</v>
      </c>
      <c r="C48" t="s">
        <v>588</v>
      </c>
      <c r="D48" s="2" t="s">
        <v>582</v>
      </c>
      <c r="E48" s="1" t="s">
        <v>593</v>
      </c>
      <c r="F48" s="3">
        <v>157</v>
      </c>
      <c r="G48" s="4">
        <v>135000</v>
      </c>
      <c r="H48" s="5">
        <v>130</v>
      </c>
      <c r="I48" s="6">
        <v>45807</v>
      </c>
      <c r="J48" s="2" t="s">
        <v>598</v>
      </c>
      <c r="K48" s="15">
        <f>PRODUCT(Table2[[#This Row],[Ticket Price]],Table2[[#This Row],[Passenger Count]])</f>
        <v>17550000</v>
      </c>
      <c r="L48" s="15">
        <f>Table2[[#This Row],[Revenue]]*(1-$O$2)</f>
        <v>15795000</v>
      </c>
    </row>
    <row r="49" spans="1:12" x14ac:dyDescent="0.35">
      <c r="A49" t="s">
        <v>45</v>
      </c>
      <c r="B49" t="s">
        <v>391</v>
      </c>
      <c r="C49" t="s">
        <v>583</v>
      </c>
      <c r="D49" s="2" t="s">
        <v>584</v>
      </c>
      <c r="E49" s="1" t="s">
        <v>595</v>
      </c>
      <c r="F49" s="3">
        <v>22</v>
      </c>
      <c r="G49" s="4">
        <v>115000</v>
      </c>
      <c r="H49" s="5">
        <v>129</v>
      </c>
      <c r="I49" s="6">
        <v>45779</v>
      </c>
      <c r="J49" s="2" t="s">
        <v>597</v>
      </c>
      <c r="K49" s="15">
        <f>PRODUCT(Table2[[#This Row],[Ticket Price]],Table2[[#This Row],[Passenger Count]])</f>
        <v>14835000</v>
      </c>
      <c r="L49" s="15">
        <f>Table2[[#This Row],[Revenue]]*(1-$O$2)</f>
        <v>13351500</v>
      </c>
    </row>
    <row r="50" spans="1:12" x14ac:dyDescent="0.35">
      <c r="A50" t="s">
        <v>46</v>
      </c>
      <c r="B50" t="s">
        <v>392</v>
      </c>
      <c r="C50" t="s">
        <v>586</v>
      </c>
      <c r="D50" s="2" t="s">
        <v>587</v>
      </c>
      <c r="E50" s="1" t="s">
        <v>596</v>
      </c>
      <c r="F50" s="3">
        <v>118</v>
      </c>
      <c r="G50" s="4">
        <v>25000</v>
      </c>
      <c r="H50" s="5">
        <v>147</v>
      </c>
      <c r="I50" s="6">
        <v>45695</v>
      </c>
      <c r="J50" s="2" t="s">
        <v>597</v>
      </c>
      <c r="K50" s="15">
        <f>PRODUCT(Table2[[#This Row],[Ticket Price]],Table2[[#This Row],[Passenger Count]])</f>
        <v>3675000</v>
      </c>
      <c r="L50" s="15">
        <f>Table2[[#This Row],[Revenue]]*(1-$O$2)</f>
        <v>3307500</v>
      </c>
    </row>
    <row r="51" spans="1:12" x14ac:dyDescent="0.35">
      <c r="A51" t="s">
        <v>47</v>
      </c>
      <c r="B51" t="s">
        <v>393</v>
      </c>
      <c r="C51" t="s">
        <v>582</v>
      </c>
      <c r="D51" s="2" t="s">
        <v>589</v>
      </c>
      <c r="E51" s="1" t="s">
        <v>594</v>
      </c>
      <c r="F51" s="3">
        <v>166</v>
      </c>
      <c r="G51" s="4">
        <v>50000</v>
      </c>
      <c r="H51" s="5">
        <v>72</v>
      </c>
      <c r="I51" s="6">
        <v>45683</v>
      </c>
      <c r="J51" s="2" t="s">
        <v>597</v>
      </c>
      <c r="K51" s="15">
        <f>PRODUCT(Table2[[#This Row],[Ticket Price]],Table2[[#This Row],[Passenger Count]])</f>
        <v>3600000</v>
      </c>
      <c r="L51" s="15">
        <f>Table2[[#This Row],[Revenue]]*(1-$O$2)</f>
        <v>3240000</v>
      </c>
    </row>
    <row r="52" spans="1:12" x14ac:dyDescent="0.35">
      <c r="A52" t="s">
        <v>48</v>
      </c>
      <c r="B52" t="s">
        <v>394</v>
      </c>
      <c r="C52" t="s">
        <v>586</v>
      </c>
      <c r="D52" s="2" t="s">
        <v>584</v>
      </c>
      <c r="E52" s="1" t="s">
        <v>594</v>
      </c>
      <c r="F52" s="3">
        <v>18</v>
      </c>
      <c r="G52" s="4">
        <v>140000</v>
      </c>
      <c r="H52" s="5">
        <v>126</v>
      </c>
      <c r="I52" s="6">
        <v>45745</v>
      </c>
      <c r="J52" s="2" t="s">
        <v>598</v>
      </c>
      <c r="K52" s="15">
        <f>PRODUCT(Table2[[#This Row],[Ticket Price]],Table2[[#This Row],[Passenger Count]])</f>
        <v>17640000</v>
      </c>
      <c r="L52" s="15">
        <f>Table2[[#This Row],[Revenue]]*(1-$O$2)</f>
        <v>15876000</v>
      </c>
    </row>
    <row r="53" spans="1:12" x14ac:dyDescent="0.35">
      <c r="A53" t="s">
        <v>49</v>
      </c>
      <c r="B53" t="s">
        <v>395</v>
      </c>
      <c r="C53" t="s">
        <v>588</v>
      </c>
      <c r="D53" s="2" t="s">
        <v>587</v>
      </c>
      <c r="E53" s="1" t="s">
        <v>592</v>
      </c>
      <c r="F53" s="3">
        <v>44</v>
      </c>
      <c r="G53" s="4">
        <v>140000</v>
      </c>
      <c r="H53" s="5">
        <v>80</v>
      </c>
      <c r="I53" s="6">
        <v>45672</v>
      </c>
      <c r="J53" s="2" t="s">
        <v>598</v>
      </c>
      <c r="K53" s="15">
        <f>PRODUCT(Table2[[#This Row],[Ticket Price]],Table2[[#This Row],[Passenger Count]])</f>
        <v>11200000</v>
      </c>
      <c r="L53" s="15">
        <f>Table2[[#This Row],[Revenue]]*(1-$O$2)</f>
        <v>10080000</v>
      </c>
    </row>
    <row r="54" spans="1:12" x14ac:dyDescent="0.35">
      <c r="A54" t="s">
        <v>50</v>
      </c>
      <c r="B54" t="s">
        <v>396</v>
      </c>
      <c r="C54" t="s">
        <v>585</v>
      </c>
      <c r="D54" s="2" t="s">
        <v>582</v>
      </c>
      <c r="E54" s="1" t="s">
        <v>594</v>
      </c>
      <c r="F54" s="3">
        <v>50</v>
      </c>
      <c r="G54" s="4">
        <v>110000</v>
      </c>
      <c r="H54" s="5">
        <v>99</v>
      </c>
      <c r="I54" s="6">
        <v>45770</v>
      </c>
      <c r="J54" s="2" t="s">
        <v>598</v>
      </c>
      <c r="K54" s="15">
        <f>PRODUCT(Table2[[#This Row],[Ticket Price]],Table2[[#This Row],[Passenger Count]])</f>
        <v>10890000</v>
      </c>
      <c r="L54" s="15">
        <f>Table2[[#This Row],[Revenue]]*(1-$O$2)</f>
        <v>9801000</v>
      </c>
    </row>
    <row r="55" spans="1:12" x14ac:dyDescent="0.35">
      <c r="A55" t="s">
        <v>51</v>
      </c>
      <c r="B55" t="s">
        <v>397</v>
      </c>
      <c r="C55" t="s">
        <v>586</v>
      </c>
      <c r="D55" s="2" t="s">
        <v>584</v>
      </c>
      <c r="E55" s="1" t="s">
        <v>596</v>
      </c>
      <c r="F55" s="3">
        <v>1</v>
      </c>
      <c r="G55" s="4">
        <v>90000</v>
      </c>
      <c r="H55" s="5">
        <v>155</v>
      </c>
      <c r="I55" s="6">
        <v>45804</v>
      </c>
      <c r="J55" s="2" t="s">
        <v>598</v>
      </c>
      <c r="K55" s="15">
        <f>PRODUCT(Table2[[#This Row],[Ticket Price]],Table2[[#This Row],[Passenger Count]])</f>
        <v>13950000</v>
      </c>
      <c r="L55" s="15">
        <f>Table2[[#This Row],[Revenue]]*(1-$O$2)</f>
        <v>12555000</v>
      </c>
    </row>
    <row r="56" spans="1:12" x14ac:dyDescent="0.35">
      <c r="A56" t="s">
        <v>52</v>
      </c>
      <c r="B56" t="s">
        <v>365</v>
      </c>
      <c r="C56" t="s">
        <v>588</v>
      </c>
      <c r="D56" s="2" t="s">
        <v>583</v>
      </c>
      <c r="E56" s="1" t="s">
        <v>593</v>
      </c>
      <c r="F56" s="3">
        <v>19</v>
      </c>
      <c r="G56" s="4">
        <v>110000</v>
      </c>
      <c r="H56" s="5">
        <v>129</v>
      </c>
      <c r="I56" s="6">
        <v>45683</v>
      </c>
      <c r="J56" s="2" t="s">
        <v>598</v>
      </c>
      <c r="K56" s="15">
        <f>PRODUCT(Table2[[#This Row],[Ticket Price]],Table2[[#This Row],[Passenger Count]])</f>
        <v>14190000</v>
      </c>
      <c r="L56" s="15">
        <f>Table2[[#This Row],[Revenue]]*(1-$O$2)</f>
        <v>12771000</v>
      </c>
    </row>
    <row r="57" spans="1:12" x14ac:dyDescent="0.35">
      <c r="A57" t="s">
        <v>53</v>
      </c>
      <c r="B57" t="s">
        <v>398</v>
      </c>
      <c r="C57" t="s">
        <v>587</v>
      </c>
      <c r="D57" s="2" t="s">
        <v>584</v>
      </c>
      <c r="E57" s="1" t="s">
        <v>595</v>
      </c>
      <c r="F57" s="3">
        <v>18</v>
      </c>
      <c r="G57" s="4">
        <v>95000</v>
      </c>
      <c r="H57" s="5">
        <v>133</v>
      </c>
      <c r="I57" s="6">
        <v>45661</v>
      </c>
      <c r="J57" s="2" t="s">
        <v>598</v>
      </c>
      <c r="K57" s="15">
        <f>PRODUCT(Table2[[#This Row],[Ticket Price]],Table2[[#This Row],[Passenger Count]])</f>
        <v>12635000</v>
      </c>
      <c r="L57" s="15">
        <f>Table2[[#This Row],[Revenue]]*(1-$O$2)</f>
        <v>11371500</v>
      </c>
    </row>
    <row r="58" spans="1:12" x14ac:dyDescent="0.35">
      <c r="A58" t="s">
        <v>54</v>
      </c>
      <c r="B58" t="s">
        <v>379</v>
      </c>
      <c r="C58" t="s">
        <v>587</v>
      </c>
      <c r="D58" s="2" t="s">
        <v>585</v>
      </c>
      <c r="E58" s="1" t="s">
        <v>595</v>
      </c>
      <c r="F58" s="3">
        <v>130</v>
      </c>
      <c r="G58" s="4">
        <v>75000</v>
      </c>
      <c r="H58" s="5">
        <v>159</v>
      </c>
      <c r="I58" s="6">
        <v>45728</v>
      </c>
      <c r="J58" s="2" t="s">
        <v>597</v>
      </c>
      <c r="K58" s="15">
        <f>PRODUCT(Table2[[#This Row],[Ticket Price]],Table2[[#This Row],[Passenger Count]])</f>
        <v>11925000</v>
      </c>
      <c r="L58" s="15">
        <f>Table2[[#This Row],[Revenue]]*(1-$O$2)</f>
        <v>10732500</v>
      </c>
    </row>
    <row r="59" spans="1:12" x14ac:dyDescent="0.35">
      <c r="A59" t="s">
        <v>55</v>
      </c>
      <c r="B59" t="s">
        <v>399</v>
      </c>
      <c r="C59" t="s">
        <v>587</v>
      </c>
      <c r="D59" s="2" t="s">
        <v>585</v>
      </c>
      <c r="E59" s="1" t="s">
        <v>595</v>
      </c>
      <c r="F59" s="3">
        <v>27</v>
      </c>
      <c r="G59" s="4">
        <v>145000</v>
      </c>
      <c r="H59" s="5">
        <v>98</v>
      </c>
      <c r="I59" s="6">
        <v>45710</v>
      </c>
      <c r="J59" s="2" t="s">
        <v>597</v>
      </c>
      <c r="K59" s="15">
        <f>PRODUCT(Table2[[#This Row],[Ticket Price]],Table2[[#This Row],[Passenger Count]])</f>
        <v>14210000</v>
      </c>
      <c r="L59" s="15">
        <f>Table2[[#This Row],[Revenue]]*(1-$O$2)</f>
        <v>12789000</v>
      </c>
    </row>
    <row r="60" spans="1:12" x14ac:dyDescent="0.35">
      <c r="A60" t="s">
        <v>56</v>
      </c>
      <c r="B60" t="s">
        <v>400</v>
      </c>
      <c r="C60" t="s">
        <v>585</v>
      </c>
      <c r="D60" s="2" t="s">
        <v>591</v>
      </c>
      <c r="E60" s="1" t="s">
        <v>594</v>
      </c>
      <c r="F60" s="3">
        <v>31</v>
      </c>
      <c r="G60" s="4">
        <v>65000</v>
      </c>
      <c r="H60" s="5">
        <v>148</v>
      </c>
      <c r="I60" s="6">
        <v>45679</v>
      </c>
      <c r="J60" s="2" t="s">
        <v>597</v>
      </c>
      <c r="K60" s="15">
        <f>PRODUCT(Table2[[#This Row],[Ticket Price]],Table2[[#This Row],[Passenger Count]])</f>
        <v>9620000</v>
      </c>
      <c r="L60" s="15">
        <f>Table2[[#This Row],[Revenue]]*(1-$O$2)</f>
        <v>8658000</v>
      </c>
    </row>
    <row r="61" spans="1:12" x14ac:dyDescent="0.35">
      <c r="A61" t="s">
        <v>57</v>
      </c>
      <c r="B61" t="s">
        <v>401</v>
      </c>
      <c r="C61" t="s">
        <v>581</v>
      </c>
      <c r="D61" s="2" t="s">
        <v>591</v>
      </c>
      <c r="E61" s="1" t="s">
        <v>592</v>
      </c>
      <c r="F61" s="3">
        <v>131</v>
      </c>
      <c r="G61" s="4">
        <v>100000</v>
      </c>
      <c r="H61" s="5">
        <v>87</v>
      </c>
      <c r="I61" s="6">
        <v>45721</v>
      </c>
      <c r="J61" s="2" t="s">
        <v>597</v>
      </c>
      <c r="K61" s="15">
        <f>PRODUCT(Table2[[#This Row],[Ticket Price]],Table2[[#This Row],[Passenger Count]])</f>
        <v>8700000</v>
      </c>
      <c r="L61" s="15">
        <f>Table2[[#This Row],[Revenue]]*(1-$O$2)</f>
        <v>7830000</v>
      </c>
    </row>
    <row r="62" spans="1:12" x14ac:dyDescent="0.35">
      <c r="A62" t="s">
        <v>58</v>
      </c>
      <c r="B62" t="s">
        <v>402</v>
      </c>
      <c r="C62" t="s">
        <v>583</v>
      </c>
      <c r="D62" s="2" t="s">
        <v>590</v>
      </c>
      <c r="E62" s="1" t="s">
        <v>594</v>
      </c>
      <c r="F62" s="3">
        <v>82</v>
      </c>
      <c r="G62" s="4">
        <v>150000</v>
      </c>
      <c r="H62" s="5">
        <v>153</v>
      </c>
      <c r="I62" s="6">
        <v>45779</v>
      </c>
      <c r="J62" s="2" t="s">
        <v>597</v>
      </c>
      <c r="K62" s="15">
        <f>PRODUCT(Table2[[#This Row],[Ticket Price]],Table2[[#This Row],[Passenger Count]])</f>
        <v>22950000</v>
      </c>
      <c r="L62" s="15">
        <f>Table2[[#This Row],[Revenue]]*(1-$O$2)</f>
        <v>20655000</v>
      </c>
    </row>
    <row r="63" spans="1:12" x14ac:dyDescent="0.35">
      <c r="A63" t="s">
        <v>59</v>
      </c>
      <c r="B63" t="s">
        <v>403</v>
      </c>
      <c r="C63" t="s">
        <v>588</v>
      </c>
      <c r="D63" s="2" t="s">
        <v>590</v>
      </c>
      <c r="E63" s="1" t="s">
        <v>592</v>
      </c>
      <c r="F63" s="3">
        <v>54</v>
      </c>
      <c r="G63" s="4">
        <v>120000</v>
      </c>
      <c r="H63" s="5">
        <v>113</v>
      </c>
      <c r="I63" s="6">
        <v>45830</v>
      </c>
      <c r="J63" s="2" t="s">
        <v>597</v>
      </c>
      <c r="K63" s="15">
        <f>PRODUCT(Table2[[#This Row],[Ticket Price]],Table2[[#This Row],[Passenger Count]])</f>
        <v>13560000</v>
      </c>
      <c r="L63" s="15">
        <f>Table2[[#This Row],[Revenue]]*(1-$O$2)</f>
        <v>12204000</v>
      </c>
    </row>
    <row r="64" spans="1:12" x14ac:dyDescent="0.35">
      <c r="A64" t="s">
        <v>60</v>
      </c>
      <c r="B64" t="s">
        <v>404</v>
      </c>
      <c r="C64" t="s">
        <v>584</v>
      </c>
      <c r="D64" s="2" t="s">
        <v>589</v>
      </c>
      <c r="E64" s="1" t="s">
        <v>592</v>
      </c>
      <c r="F64" s="3">
        <v>92</v>
      </c>
      <c r="G64" s="4">
        <v>100000</v>
      </c>
      <c r="H64" s="5">
        <v>93</v>
      </c>
      <c r="I64" s="6">
        <v>45718</v>
      </c>
      <c r="J64" s="2" t="s">
        <v>597</v>
      </c>
      <c r="K64" s="15">
        <f>PRODUCT(Table2[[#This Row],[Ticket Price]],Table2[[#This Row],[Passenger Count]])</f>
        <v>9300000</v>
      </c>
      <c r="L64" s="15">
        <f>Table2[[#This Row],[Revenue]]*(1-$O$2)</f>
        <v>8370000</v>
      </c>
    </row>
    <row r="65" spans="1:12" x14ac:dyDescent="0.35">
      <c r="A65" t="s">
        <v>61</v>
      </c>
      <c r="B65" t="s">
        <v>405</v>
      </c>
      <c r="C65" t="s">
        <v>582</v>
      </c>
      <c r="D65" s="2" t="s">
        <v>585</v>
      </c>
      <c r="E65" s="1" t="s">
        <v>594</v>
      </c>
      <c r="F65" s="3">
        <v>122</v>
      </c>
      <c r="G65" s="4">
        <v>45000</v>
      </c>
      <c r="H65" s="5">
        <v>63</v>
      </c>
      <c r="I65" s="6">
        <v>45764</v>
      </c>
      <c r="J65" s="2" t="s">
        <v>597</v>
      </c>
      <c r="K65" s="15">
        <f>PRODUCT(Table2[[#This Row],[Ticket Price]],Table2[[#This Row],[Passenger Count]])</f>
        <v>2835000</v>
      </c>
      <c r="L65" s="15">
        <f>Table2[[#This Row],[Revenue]]*(1-$O$2)</f>
        <v>2551500</v>
      </c>
    </row>
    <row r="66" spans="1:12" x14ac:dyDescent="0.35">
      <c r="A66" t="s">
        <v>62</v>
      </c>
      <c r="B66" t="s">
        <v>406</v>
      </c>
      <c r="C66" t="s">
        <v>582</v>
      </c>
      <c r="D66" s="2" t="s">
        <v>590</v>
      </c>
      <c r="E66" s="1" t="s">
        <v>594</v>
      </c>
      <c r="F66" s="3">
        <v>107</v>
      </c>
      <c r="G66" s="4">
        <v>145000</v>
      </c>
      <c r="H66" s="5">
        <v>85</v>
      </c>
      <c r="I66" s="6">
        <v>45667</v>
      </c>
      <c r="J66" s="2" t="s">
        <v>598</v>
      </c>
      <c r="K66" s="15">
        <f>PRODUCT(Table2[[#This Row],[Ticket Price]],Table2[[#This Row],[Passenger Count]])</f>
        <v>12325000</v>
      </c>
      <c r="L66" s="15">
        <f>Table2[[#This Row],[Revenue]]*(1-$O$2)</f>
        <v>11092500</v>
      </c>
    </row>
    <row r="67" spans="1:12" x14ac:dyDescent="0.35">
      <c r="A67" t="s">
        <v>63</v>
      </c>
      <c r="B67" t="s">
        <v>384</v>
      </c>
      <c r="C67" t="s">
        <v>587</v>
      </c>
      <c r="D67" s="2" t="s">
        <v>584</v>
      </c>
      <c r="E67" s="1" t="s">
        <v>593</v>
      </c>
      <c r="F67" s="3">
        <v>67</v>
      </c>
      <c r="G67" s="4">
        <v>100000</v>
      </c>
      <c r="H67" s="5">
        <v>65</v>
      </c>
      <c r="I67" s="6">
        <v>45715</v>
      </c>
      <c r="J67" s="2" t="s">
        <v>598</v>
      </c>
      <c r="K67" s="15">
        <f>PRODUCT(Table2[[#This Row],[Ticket Price]],Table2[[#This Row],[Passenger Count]])</f>
        <v>6500000</v>
      </c>
      <c r="L67" s="15">
        <f>Table2[[#This Row],[Revenue]]*(1-$O$2)</f>
        <v>5850000</v>
      </c>
    </row>
    <row r="68" spans="1:12" x14ac:dyDescent="0.35">
      <c r="A68" t="s">
        <v>64</v>
      </c>
      <c r="B68" t="s">
        <v>407</v>
      </c>
      <c r="C68" t="s">
        <v>583</v>
      </c>
      <c r="D68" s="2" t="s">
        <v>591</v>
      </c>
      <c r="E68" s="1" t="s">
        <v>592</v>
      </c>
      <c r="F68" s="3">
        <v>-1</v>
      </c>
      <c r="G68" s="4">
        <v>150000</v>
      </c>
      <c r="H68" s="5">
        <v>133</v>
      </c>
      <c r="I68" s="6">
        <v>45695</v>
      </c>
      <c r="J68" s="2" t="s">
        <v>598</v>
      </c>
      <c r="K68" s="15">
        <f>PRODUCT(Table2[[#This Row],[Ticket Price]],Table2[[#This Row],[Passenger Count]])</f>
        <v>19950000</v>
      </c>
      <c r="L68" s="15">
        <f>Table2[[#This Row],[Revenue]]*(1-$O$2)</f>
        <v>17955000</v>
      </c>
    </row>
    <row r="69" spans="1:12" x14ac:dyDescent="0.35">
      <c r="A69" t="s">
        <v>65</v>
      </c>
      <c r="B69" t="s">
        <v>390</v>
      </c>
      <c r="C69" t="s">
        <v>584</v>
      </c>
      <c r="D69" s="2" t="s">
        <v>587</v>
      </c>
      <c r="E69" s="1" t="s">
        <v>596</v>
      </c>
      <c r="F69" s="3">
        <v>24</v>
      </c>
      <c r="G69" s="4">
        <v>65000</v>
      </c>
      <c r="H69" s="5">
        <v>156</v>
      </c>
      <c r="I69" s="6">
        <v>45680</v>
      </c>
      <c r="J69" s="2" t="s">
        <v>597</v>
      </c>
      <c r="K69" s="15">
        <f>PRODUCT(Table2[[#This Row],[Ticket Price]],Table2[[#This Row],[Passenger Count]])</f>
        <v>10140000</v>
      </c>
      <c r="L69" s="15">
        <f>Table2[[#This Row],[Revenue]]*(1-$O$2)</f>
        <v>9126000</v>
      </c>
    </row>
    <row r="70" spans="1:12" x14ac:dyDescent="0.35">
      <c r="A70" t="s">
        <v>66</v>
      </c>
      <c r="B70" t="s">
        <v>408</v>
      </c>
      <c r="C70" t="s">
        <v>585</v>
      </c>
      <c r="D70" s="2" t="s">
        <v>584</v>
      </c>
      <c r="E70" s="1" t="s">
        <v>595</v>
      </c>
      <c r="F70" s="3">
        <v>54</v>
      </c>
      <c r="G70" s="4">
        <v>80000</v>
      </c>
      <c r="H70" s="5">
        <v>66</v>
      </c>
      <c r="I70" s="6">
        <v>45780</v>
      </c>
      <c r="J70" s="2" t="s">
        <v>597</v>
      </c>
      <c r="K70" s="15">
        <f>PRODUCT(Table2[[#This Row],[Ticket Price]],Table2[[#This Row],[Passenger Count]])</f>
        <v>5280000</v>
      </c>
      <c r="L70" s="15">
        <f>Table2[[#This Row],[Revenue]]*(1-$O$2)</f>
        <v>4752000</v>
      </c>
    </row>
    <row r="71" spans="1:12" x14ac:dyDescent="0.35">
      <c r="A71" t="s">
        <v>67</v>
      </c>
      <c r="B71" t="s">
        <v>399</v>
      </c>
      <c r="C71" t="s">
        <v>585</v>
      </c>
      <c r="D71" s="2" t="s">
        <v>590</v>
      </c>
      <c r="E71" s="1" t="s">
        <v>596</v>
      </c>
      <c r="F71" s="3">
        <v>72</v>
      </c>
      <c r="G71" s="4">
        <v>40000</v>
      </c>
      <c r="H71" s="5">
        <v>97</v>
      </c>
      <c r="I71" s="6">
        <v>45665</v>
      </c>
      <c r="J71" s="2" t="s">
        <v>598</v>
      </c>
      <c r="K71" s="15">
        <f>PRODUCT(Table2[[#This Row],[Ticket Price]],Table2[[#This Row],[Passenger Count]])</f>
        <v>3880000</v>
      </c>
      <c r="L71" s="15">
        <f>Table2[[#This Row],[Revenue]]*(1-$O$2)</f>
        <v>3492000</v>
      </c>
    </row>
    <row r="72" spans="1:12" x14ac:dyDescent="0.35">
      <c r="A72" t="s">
        <v>68</v>
      </c>
      <c r="B72" t="s">
        <v>409</v>
      </c>
      <c r="C72" t="s">
        <v>583</v>
      </c>
      <c r="D72" s="2" t="s">
        <v>584</v>
      </c>
      <c r="E72" s="1" t="s">
        <v>595</v>
      </c>
      <c r="F72" s="3">
        <v>122</v>
      </c>
      <c r="G72" s="4">
        <v>140000</v>
      </c>
      <c r="H72" s="5">
        <v>177</v>
      </c>
      <c r="I72" s="6">
        <v>45828</v>
      </c>
      <c r="J72" s="2" t="s">
        <v>597</v>
      </c>
      <c r="K72" s="15">
        <f>PRODUCT(Table2[[#This Row],[Ticket Price]],Table2[[#This Row],[Passenger Count]])</f>
        <v>24780000</v>
      </c>
      <c r="L72" s="15">
        <f>Table2[[#This Row],[Revenue]]*(1-$O$2)</f>
        <v>22302000</v>
      </c>
    </row>
    <row r="73" spans="1:12" x14ac:dyDescent="0.35">
      <c r="A73" t="s">
        <v>69</v>
      </c>
      <c r="B73" t="s">
        <v>410</v>
      </c>
      <c r="C73" t="s">
        <v>584</v>
      </c>
      <c r="D73" s="2" t="s">
        <v>591</v>
      </c>
      <c r="E73" s="1" t="s">
        <v>596</v>
      </c>
      <c r="F73" s="3">
        <v>54</v>
      </c>
      <c r="G73" s="4">
        <v>35000</v>
      </c>
      <c r="H73" s="5">
        <v>127</v>
      </c>
      <c r="I73" s="6">
        <v>45776</v>
      </c>
      <c r="J73" s="2" t="s">
        <v>597</v>
      </c>
      <c r="K73" s="15">
        <f>PRODUCT(Table2[[#This Row],[Ticket Price]],Table2[[#This Row],[Passenger Count]])</f>
        <v>4445000</v>
      </c>
      <c r="L73" s="15">
        <f>Table2[[#This Row],[Revenue]]*(1-$O$2)</f>
        <v>4000500</v>
      </c>
    </row>
    <row r="74" spans="1:12" x14ac:dyDescent="0.35">
      <c r="A74" t="s">
        <v>70</v>
      </c>
      <c r="B74" t="s">
        <v>411</v>
      </c>
      <c r="C74" t="s">
        <v>588</v>
      </c>
      <c r="D74" s="2" t="s">
        <v>584</v>
      </c>
      <c r="E74" s="1" t="s">
        <v>595</v>
      </c>
      <c r="F74" s="3">
        <v>104</v>
      </c>
      <c r="G74" s="4">
        <v>135000</v>
      </c>
      <c r="H74" s="5">
        <v>174</v>
      </c>
      <c r="I74" s="6">
        <v>45742</v>
      </c>
      <c r="J74" s="2" t="s">
        <v>597</v>
      </c>
      <c r="K74" s="15">
        <f>PRODUCT(Table2[[#This Row],[Ticket Price]],Table2[[#This Row],[Passenger Count]])</f>
        <v>23490000</v>
      </c>
      <c r="L74" s="15">
        <f>Table2[[#This Row],[Revenue]]*(1-$O$2)</f>
        <v>21141000</v>
      </c>
    </row>
    <row r="75" spans="1:12" x14ac:dyDescent="0.35">
      <c r="A75" t="s">
        <v>71</v>
      </c>
      <c r="B75" t="s">
        <v>412</v>
      </c>
      <c r="C75" t="s">
        <v>584</v>
      </c>
      <c r="D75" s="2" t="s">
        <v>587</v>
      </c>
      <c r="E75" s="1" t="s">
        <v>596</v>
      </c>
      <c r="F75" s="3">
        <v>137</v>
      </c>
      <c r="G75" s="4">
        <v>55000</v>
      </c>
      <c r="H75" s="5">
        <v>169</v>
      </c>
      <c r="I75" s="6">
        <v>45660</v>
      </c>
      <c r="J75" s="2" t="s">
        <v>598</v>
      </c>
      <c r="K75" s="15">
        <f>PRODUCT(Table2[[#This Row],[Ticket Price]],Table2[[#This Row],[Passenger Count]])</f>
        <v>9295000</v>
      </c>
      <c r="L75" s="15">
        <f>Table2[[#This Row],[Revenue]]*(1-$O$2)</f>
        <v>8365500</v>
      </c>
    </row>
    <row r="76" spans="1:12" x14ac:dyDescent="0.35">
      <c r="A76" t="s">
        <v>72</v>
      </c>
      <c r="B76" t="s">
        <v>413</v>
      </c>
      <c r="C76" t="s">
        <v>581</v>
      </c>
      <c r="D76" s="2" t="s">
        <v>587</v>
      </c>
      <c r="E76" s="1" t="s">
        <v>593</v>
      </c>
      <c r="F76" s="3">
        <v>67</v>
      </c>
      <c r="G76" s="4">
        <v>50000</v>
      </c>
      <c r="H76" s="5">
        <v>87</v>
      </c>
      <c r="I76" s="6">
        <v>45799</v>
      </c>
      <c r="J76" s="2" t="s">
        <v>597</v>
      </c>
      <c r="K76" s="15">
        <f>PRODUCT(Table2[[#This Row],[Ticket Price]],Table2[[#This Row],[Passenger Count]])</f>
        <v>4350000</v>
      </c>
      <c r="L76" s="15">
        <f>Table2[[#This Row],[Revenue]]*(1-$O$2)</f>
        <v>3915000</v>
      </c>
    </row>
    <row r="77" spans="1:12" x14ac:dyDescent="0.35">
      <c r="A77" t="s">
        <v>73</v>
      </c>
      <c r="B77" t="s">
        <v>414</v>
      </c>
      <c r="C77" t="s">
        <v>581</v>
      </c>
      <c r="D77" s="2" t="s">
        <v>584</v>
      </c>
      <c r="E77" s="1" t="s">
        <v>593</v>
      </c>
      <c r="F77" s="3">
        <v>128</v>
      </c>
      <c r="G77" s="4">
        <v>90000</v>
      </c>
      <c r="H77" s="5">
        <v>80</v>
      </c>
      <c r="I77" s="6">
        <v>45814</v>
      </c>
      <c r="J77" s="2" t="s">
        <v>597</v>
      </c>
      <c r="K77" s="15">
        <f>PRODUCT(Table2[[#This Row],[Ticket Price]],Table2[[#This Row],[Passenger Count]])</f>
        <v>7200000</v>
      </c>
      <c r="L77" s="15">
        <f>Table2[[#This Row],[Revenue]]*(1-$O$2)</f>
        <v>6480000</v>
      </c>
    </row>
    <row r="78" spans="1:12" x14ac:dyDescent="0.35">
      <c r="A78" t="s">
        <v>74</v>
      </c>
      <c r="B78" t="s">
        <v>415</v>
      </c>
      <c r="C78" t="s">
        <v>588</v>
      </c>
      <c r="D78" s="2" t="s">
        <v>591</v>
      </c>
      <c r="E78" s="1" t="s">
        <v>593</v>
      </c>
      <c r="F78" s="3">
        <v>106</v>
      </c>
      <c r="G78" s="4">
        <v>75000</v>
      </c>
      <c r="H78" s="5">
        <v>126</v>
      </c>
      <c r="I78" s="6">
        <v>45661</v>
      </c>
      <c r="J78" s="2" t="s">
        <v>598</v>
      </c>
      <c r="K78" s="15">
        <f>PRODUCT(Table2[[#This Row],[Ticket Price]],Table2[[#This Row],[Passenger Count]])</f>
        <v>9450000</v>
      </c>
      <c r="L78" s="15">
        <f>Table2[[#This Row],[Revenue]]*(1-$O$2)</f>
        <v>8505000</v>
      </c>
    </row>
    <row r="79" spans="1:12" x14ac:dyDescent="0.35">
      <c r="A79" t="s">
        <v>75</v>
      </c>
      <c r="B79" t="s">
        <v>416</v>
      </c>
      <c r="C79" t="s">
        <v>584</v>
      </c>
      <c r="D79" s="2" t="s">
        <v>591</v>
      </c>
      <c r="E79" s="1" t="s">
        <v>596</v>
      </c>
      <c r="F79" s="3">
        <v>23</v>
      </c>
      <c r="G79" s="4">
        <v>60000</v>
      </c>
      <c r="H79" s="5">
        <v>146</v>
      </c>
      <c r="I79" s="6">
        <v>45703</v>
      </c>
      <c r="J79" s="2" t="s">
        <v>597</v>
      </c>
      <c r="K79" s="15">
        <f>PRODUCT(Table2[[#This Row],[Ticket Price]],Table2[[#This Row],[Passenger Count]])</f>
        <v>8760000</v>
      </c>
      <c r="L79" s="15">
        <f>Table2[[#This Row],[Revenue]]*(1-$O$2)</f>
        <v>7884000</v>
      </c>
    </row>
    <row r="80" spans="1:12" x14ac:dyDescent="0.35">
      <c r="A80" t="s">
        <v>76</v>
      </c>
      <c r="B80" t="s">
        <v>417</v>
      </c>
      <c r="C80" t="s">
        <v>581</v>
      </c>
      <c r="D80" s="2" t="s">
        <v>585</v>
      </c>
      <c r="E80" s="1" t="s">
        <v>592</v>
      </c>
      <c r="F80" s="3">
        <v>52</v>
      </c>
      <c r="G80" s="4">
        <v>115000</v>
      </c>
      <c r="H80" s="5">
        <v>115</v>
      </c>
      <c r="I80" s="6">
        <v>45777</v>
      </c>
      <c r="J80" s="2" t="s">
        <v>598</v>
      </c>
      <c r="K80" s="15">
        <f>PRODUCT(Table2[[#This Row],[Ticket Price]],Table2[[#This Row],[Passenger Count]])</f>
        <v>13225000</v>
      </c>
      <c r="L80" s="15">
        <f>Table2[[#This Row],[Revenue]]*(1-$O$2)</f>
        <v>11902500</v>
      </c>
    </row>
    <row r="81" spans="1:12" x14ac:dyDescent="0.35">
      <c r="A81" t="s">
        <v>77</v>
      </c>
      <c r="B81" t="s">
        <v>418</v>
      </c>
      <c r="C81" t="s">
        <v>584</v>
      </c>
      <c r="D81" s="2" t="s">
        <v>589</v>
      </c>
      <c r="E81" s="1" t="s">
        <v>592</v>
      </c>
      <c r="F81" s="3">
        <v>49</v>
      </c>
      <c r="G81" s="4">
        <v>135000</v>
      </c>
      <c r="H81" s="5">
        <v>151</v>
      </c>
      <c r="I81" s="6">
        <v>45774</v>
      </c>
      <c r="J81" s="2" t="s">
        <v>598</v>
      </c>
      <c r="K81" s="15">
        <f>PRODUCT(Table2[[#This Row],[Ticket Price]],Table2[[#This Row],[Passenger Count]])</f>
        <v>20385000</v>
      </c>
      <c r="L81" s="15">
        <f>Table2[[#This Row],[Revenue]]*(1-$O$2)</f>
        <v>18346500</v>
      </c>
    </row>
    <row r="82" spans="1:12" x14ac:dyDescent="0.35">
      <c r="A82" t="s">
        <v>78</v>
      </c>
      <c r="B82" t="s">
        <v>364</v>
      </c>
      <c r="C82" t="s">
        <v>581</v>
      </c>
      <c r="D82" s="2" t="s">
        <v>583</v>
      </c>
      <c r="E82" s="1" t="s">
        <v>592</v>
      </c>
      <c r="F82" s="3">
        <v>60</v>
      </c>
      <c r="G82" s="4">
        <v>80000</v>
      </c>
      <c r="H82" s="5">
        <v>169</v>
      </c>
      <c r="I82" s="6">
        <v>45717</v>
      </c>
      <c r="J82" s="2" t="s">
        <v>597</v>
      </c>
      <c r="K82" s="15">
        <f>PRODUCT(Table2[[#This Row],[Ticket Price]],Table2[[#This Row],[Passenger Count]])</f>
        <v>13520000</v>
      </c>
      <c r="L82" s="15">
        <f>Table2[[#This Row],[Revenue]]*(1-$O$2)</f>
        <v>12168000</v>
      </c>
    </row>
    <row r="83" spans="1:12" x14ac:dyDescent="0.35">
      <c r="A83" t="s">
        <v>79</v>
      </c>
      <c r="B83" t="s">
        <v>363</v>
      </c>
      <c r="C83" t="s">
        <v>582</v>
      </c>
      <c r="D83" s="2" t="s">
        <v>585</v>
      </c>
      <c r="E83" s="1" t="s">
        <v>593</v>
      </c>
      <c r="F83" s="3">
        <v>144</v>
      </c>
      <c r="G83" s="4">
        <v>85000</v>
      </c>
      <c r="H83" s="5">
        <v>148</v>
      </c>
      <c r="I83" s="6">
        <v>45684</v>
      </c>
      <c r="J83" s="2" t="s">
        <v>598</v>
      </c>
      <c r="K83" s="15">
        <f>PRODUCT(Table2[[#This Row],[Ticket Price]],Table2[[#This Row],[Passenger Count]])</f>
        <v>12580000</v>
      </c>
      <c r="L83" s="15">
        <f>Table2[[#This Row],[Revenue]]*(1-$O$2)</f>
        <v>11322000</v>
      </c>
    </row>
    <row r="84" spans="1:12" x14ac:dyDescent="0.35">
      <c r="A84" t="s">
        <v>80</v>
      </c>
      <c r="B84" t="s">
        <v>419</v>
      </c>
      <c r="C84" t="s">
        <v>581</v>
      </c>
      <c r="D84" s="2" t="s">
        <v>583</v>
      </c>
      <c r="E84" s="1" t="s">
        <v>593</v>
      </c>
      <c r="F84" s="3">
        <v>94</v>
      </c>
      <c r="G84" s="4">
        <v>150000</v>
      </c>
      <c r="H84" s="5">
        <v>143</v>
      </c>
      <c r="I84" s="6">
        <v>45812</v>
      </c>
      <c r="J84" s="2" t="s">
        <v>597</v>
      </c>
      <c r="K84" s="15">
        <f>PRODUCT(Table2[[#This Row],[Ticket Price]],Table2[[#This Row],[Passenger Count]])</f>
        <v>21450000</v>
      </c>
      <c r="L84" s="15">
        <f>Table2[[#This Row],[Revenue]]*(1-$O$2)</f>
        <v>19305000</v>
      </c>
    </row>
    <row r="85" spans="1:12" x14ac:dyDescent="0.35">
      <c r="A85" t="s">
        <v>81</v>
      </c>
      <c r="B85" t="s">
        <v>420</v>
      </c>
      <c r="C85" t="s">
        <v>587</v>
      </c>
      <c r="D85" s="2" t="s">
        <v>591</v>
      </c>
      <c r="E85" s="1" t="s">
        <v>592</v>
      </c>
      <c r="F85" s="3">
        <v>11</v>
      </c>
      <c r="G85" s="4">
        <v>45000</v>
      </c>
      <c r="H85" s="5">
        <v>67</v>
      </c>
      <c r="I85" s="6">
        <v>45824</v>
      </c>
      <c r="J85" s="2" t="s">
        <v>597</v>
      </c>
      <c r="K85" s="15">
        <f>PRODUCT(Table2[[#This Row],[Ticket Price]],Table2[[#This Row],[Passenger Count]])</f>
        <v>3015000</v>
      </c>
      <c r="L85" s="15">
        <f>Table2[[#This Row],[Revenue]]*(1-$O$2)</f>
        <v>2713500</v>
      </c>
    </row>
    <row r="86" spans="1:12" x14ac:dyDescent="0.35">
      <c r="A86" t="s">
        <v>82</v>
      </c>
      <c r="B86" t="s">
        <v>421</v>
      </c>
      <c r="C86" t="s">
        <v>586</v>
      </c>
      <c r="D86" s="2" t="s">
        <v>589</v>
      </c>
      <c r="E86" s="1" t="s">
        <v>596</v>
      </c>
      <c r="F86" s="3">
        <v>46</v>
      </c>
      <c r="G86" s="4">
        <v>35000</v>
      </c>
      <c r="H86" s="5">
        <v>138</v>
      </c>
      <c r="I86" s="6">
        <v>45756</v>
      </c>
      <c r="J86" s="2" t="s">
        <v>598</v>
      </c>
      <c r="K86" s="15">
        <f>PRODUCT(Table2[[#This Row],[Ticket Price]],Table2[[#This Row],[Passenger Count]])</f>
        <v>4830000</v>
      </c>
      <c r="L86" s="15">
        <f>Table2[[#This Row],[Revenue]]*(1-$O$2)</f>
        <v>4347000</v>
      </c>
    </row>
    <row r="87" spans="1:12" x14ac:dyDescent="0.35">
      <c r="A87" t="s">
        <v>83</v>
      </c>
      <c r="B87" t="s">
        <v>422</v>
      </c>
      <c r="C87" t="s">
        <v>584</v>
      </c>
      <c r="D87" s="2" t="s">
        <v>587</v>
      </c>
      <c r="E87" s="1" t="s">
        <v>595</v>
      </c>
      <c r="F87" s="3">
        <v>31</v>
      </c>
      <c r="G87" s="4">
        <v>50000</v>
      </c>
      <c r="H87" s="5">
        <v>149</v>
      </c>
      <c r="I87" s="6">
        <v>45813</v>
      </c>
      <c r="J87" s="2" t="s">
        <v>598</v>
      </c>
      <c r="K87" s="15">
        <f>PRODUCT(Table2[[#This Row],[Ticket Price]],Table2[[#This Row],[Passenger Count]])</f>
        <v>7450000</v>
      </c>
      <c r="L87" s="15">
        <f>Table2[[#This Row],[Revenue]]*(1-$O$2)</f>
        <v>6705000</v>
      </c>
    </row>
    <row r="88" spans="1:12" x14ac:dyDescent="0.35">
      <c r="A88" t="s">
        <v>84</v>
      </c>
      <c r="B88" t="s">
        <v>373</v>
      </c>
      <c r="C88" t="s">
        <v>587</v>
      </c>
      <c r="D88" s="2" t="s">
        <v>582</v>
      </c>
      <c r="E88" s="1" t="s">
        <v>592</v>
      </c>
      <c r="F88" s="3">
        <v>112</v>
      </c>
      <c r="G88" s="4">
        <v>85000</v>
      </c>
      <c r="H88" s="5">
        <v>96</v>
      </c>
      <c r="I88" s="6">
        <v>45825</v>
      </c>
      <c r="J88" s="2" t="s">
        <v>597</v>
      </c>
      <c r="K88" s="15">
        <f>PRODUCT(Table2[[#This Row],[Ticket Price]],Table2[[#This Row],[Passenger Count]])</f>
        <v>8160000</v>
      </c>
      <c r="L88" s="15">
        <f>Table2[[#This Row],[Revenue]]*(1-$O$2)</f>
        <v>7344000</v>
      </c>
    </row>
    <row r="89" spans="1:12" x14ac:dyDescent="0.35">
      <c r="A89" t="s">
        <v>85</v>
      </c>
      <c r="B89" t="s">
        <v>423</v>
      </c>
      <c r="C89" t="s">
        <v>587</v>
      </c>
      <c r="D89" s="2" t="s">
        <v>585</v>
      </c>
      <c r="E89" s="1" t="s">
        <v>595</v>
      </c>
      <c r="F89" s="3">
        <v>85</v>
      </c>
      <c r="G89" s="4">
        <v>65000</v>
      </c>
      <c r="H89" s="5">
        <v>131</v>
      </c>
      <c r="I89" s="6">
        <v>45692</v>
      </c>
      <c r="J89" s="2" t="s">
        <v>597</v>
      </c>
      <c r="K89" s="15">
        <f>PRODUCT(Table2[[#This Row],[Ticket Price]],Table2[[#This Row],[Passenger Count]])</f>
        <v>8515000</v>
      </c>
      <c r="L89" s="15">
        <f>Table2[[#This Row],[Revenue]]*(1-$O$2)</f>
        <v>7663500</v>
      </c>
    </row>
    <row r="90" spans="1:12" x14ac:dyDescent="0.35">
      <c r="A90" t="s">
        <v>86</v>
      </c>
      <c r="B90" t="s">
        <v>424</v>
      </c>
      <c r="C90" t="s">
        <v>584</v>
      </c>
      <c r="D90" s="2" t="s">
        <v>590</v>
      </c>
      <c r="E90" s="1" t="s">
        <v>593</v>
      </c>
      <c r="F90" s="3">
        <v>168</v>
      </c>
      <c r="G90" s="4">
        <v>135000</v>
      </c>
      <c r="H90" s="5">
        <v>97</v>
      </c>
      <c r="I90" s="6">
        <v>45798</v>
      </c>
      <c r="J90" s="2" t="s">
        <v>598</v>
      </c>
      <c r="K90" s="15">
        <f>PRODUCT(Table2[[#This Row],[Ticket Price]],Table2[[#This Row],[Passenger Count]])</f>
        <v>13095000</v>
      </c>
      <c r="L90" s="15">
        <f>Table2[[#This Row],[Revenue]]*(1-$O$2)</f>
        <v>11785500</v>
      </c>
    </row>
    <row r="91" spans="1:12" x14ac:dyDescent="0.35">
      <c r="A91" t="s">
        <v>600</v>
      </c>
      <c r="B91" t="s">
        <v>425</v>
      </c>
      <c r="C91" t="s">
        <v>581</v>
      </c>
      <c r="D91" s="2" t="s">
        <v>589</v>
      </c>
      <c r="E91" s="1" t="s">
        <v>592</v>
      </c>
      <c r="F91" s="3">
        <v>115</v>
      </c>
      <c r="G91" s="4">
        <v>90000</v>
      </c>
      <c r="H91" s="5">
        <v>83</v>
      </c>
      <c r="I91" s="6">
        <v>45664</v>
      </c>
      <c r="J91" s="2" t="s">
        <v>598</v>
      </c>
      <c r="K91" s="15">
        <f>PRODUCT(Table2[[#This Row],[Ticket Price]],Table2[[#This Row],[Passenger Count]])</f>
        <v>7470000</v>
      </c>
      <c r="L91" s="15">
        <f>Table2[[#This Row],[Revenue]]*(1-$O$2)</f>
        <v>6723000</v>
      </c>
    </row>
    <row r="92" spans="1:12" x14ac:dyDescent="0.35">
      <c r="A92" t="s">
        <v>87</v>
      </c>
      <c r="B92" t="s">
        <v>409</v>
      </c>
      <c r="C92" t="s">
        <v>585</v>
      </c>
      <c r="D92" s="2" t="s">
        <v>583</v>
      </c>
      <c r="E92" s="1" t="s">
        <v>596</v>
      </c>
      <c r="F92" s="3">
        <v>60</v>
      </c>
      <c r="G92" s="4">
        <v>75000</v>
      </c>
      <c r="H92" s="5">
        <v>125</v>
      </c>
      <c r="I92" s="6">
        <v>45782</v>
      </c>
      <c r="J92" s="2" t="s">
        <v>598</v>
      </c>
      <c r="K92" s="15">
        <f>PRODUCT(Table2[[#This Row],[Ticket Price]],Table2[[#This Row],[Passenger Count]])</f>
        <v>9375000</v>
      </c>
      <c r="L92" s="15">
        <f>Table2[[#This Row],[Revenue]]*(1-$O$2)</f>
        <v>8437500</v>
      </c>
    </row>
    <row r="93" spans="1:12" x14ac:dyDescent="0.35">
      <c r="A93" t="s">
        <v>88</v>
      </c>
      <c r="B93" t="s">
        <v>415</v>
      </c>
      <c r="C93" t="s">
        <v>583</v>
      </c>
      <c r="D93" s="2" t="s">
        <v>587</v>
      </c>
      <c r="E93" s="1" t="s">
        <v>594</v>
      </c>
      <c r="F93" s="3">
        <v>80</v>
      </c>
      <c r="G93" s="4">
        <v>115000</v>
      </c>
      <c r="H93" s="5">
        <v>112</v>
      </c>
      <c r="I93" s="6">
        <v>45798</v>
      </c>
      <c r="J93" s="2" t="s">
        <v>597</v>
      </c>
      <c r="K93" s="15">
        <f>PRODUCT(Table2[[#This Row],[Ticket Price]],Table2[[#This Row],[Passenger Count]])</f>
        <v>12880000</v>
      </c>
      <c r="L93" s="15">
        <f>Table2[[#This Row],[Revenue]]*(1-$O$2)</f>
        <v>11592000</v>
      </c>
    </row>
    <row r="94" spans="1:12" x14ac:dyDescent="0.35">
      <c r="A94" t="s">
        <v>89</v>
      </c>
      <c r="B94" t="s">
        <v>426</v>
      </c>
      <c r="C94" t="s">
        <v>588</v>
      </c>
      <c r="D94" s="2" t="s">
        <v>589</v>
      </c>
      <c r="E94" s="1" t="s">
        <v>595</v>
      </c>
      <c r="F94" s="3">
        <v>118</v>
      </c>
      <c r="G94" s="4">
        <v>90000</v>
      </c>
      <c r="H94" s="5">
        <v>95</v>
      </c>
      <c r="I94" s="6">
        <v>45761</v>
      </c>
      <c r="J94" s="2" t="s">
        <v>597</v>
      </c>
      <c r="K94" s="15">
        <f>PRODUCT(Table2[[#This Row],[Ticket Price]],Table2[[#This Row],[Passenger Count]])</f>
        <v>8550000</v>
      </c>
      <c r="L94" s="15">
        <f>Table2[[#This Row],[Revenue]]*(1-$O$2)</f>
        <v>7695000</v>
      </c>
    </row>
    <row r="95" spans="1:12" x14ac:dyDescent="0.35">
      <c r="A95" t="s">
        <v>90</v>
      </c>
      <c r="B95" t="s">
        <v>370</v>
      </c>
      <c r="C95" t="s">
        <v>581</v>
      </c>
      <c r="D95" s="2" t="s">
        <v>585</v>
      </c>
      <c r="E95" s="1" t="s">
        <v>595</v>
      </c>
      <c r="F95" s="3">
        <v>180</v>
      </c>
      <c r="G95" s="4">
        <v>75000</v>
      </c>
      <c r="H95" s="5">
        <v>65</v>
      </c>
      <c r="I95" s="6">
        <v>45690</v>
      </c>
      <c r="J95" s="2" t="s">
        <v>598</v>
      </c>
      <c r="K95" s="15">
        <f>PRODUCT(Table2[[#This Row],[Ticket Price]],Table2[[#This Row],[Passenger Count]])</f>
        <v>4875000</v>
      </c>
      <c r="L95" s="15">
        <f>Table2[[#This Row],[Revenue]]*(1-$O$2)</f>
        <v>4387500</v>
      </c>
    </row>
    <row r="96" spans="1:12" x14ac:dyDescent="0.35">
      <c r="A96" t="s">
        <v>91</v>
      </c>
      <c r="B96" t="s">
        <v>427</v>
      </c>
      <c r="C96" t="s">
        <v>583</v>
      </c>
      <c r="D96" s="2" t="s">
        <v>591</v>
      </c>
      <c r="E96" s="1" t="s">
        <v>593</v>
      </c>
      <c r="F96" s="3">
        <v>35</v>
      </c>
      <c r="G96" s="4">
        <v>75000</v>
      </c>
      <c r="H96" s="5">
        <v>173</v>
      </c>
      <c r="I96" s="6">
        <v>45811</v>
      </c>
      <c r="J96" s="2" t="s">
        <v>598</v>
      </c>
      <c r="K96" s="15">
        <f>PRODUCT(Table2[[#This Row],[Ticket Price]],Table2[[#This Row],[Passenger Count]])</f>
        <v>12975000</v>
      </c>
      <c r="L96" s="15">
        <f>Table2[[#This Row],[Revenue]]*(1-$O$2)</f>
        <v>11677500</v>
      </c>
    </row>
    <row r="97" spans="1:12" x14ac:dyDescent="0.35">
      <c r="A97" t="s">
        <v>92</v>
      </c>
      <c r="B97" t="s">
        <v>428</v>
      </c>
      <c r="C97" t="s">
        <v>585</v>
      </c>
      <c r="D97" s="2" t="s">
        <v>590</v>
      </c>
      <c r="E97" s="1" t="s">
        <v>595</v>
      </c>
      <c r="F97" s="3">
        <v>48</v>
      </c>
      <c r="G97" s="4">
        <v>65000</v>
      </c>
      <c r="H97" s="5">
        <v>175</v>
      </c>
      <c r="I97" s="6">
        <v>45796</v>
      </c>
      <c r="J97" s="2" t="s">
        <v>597</v>
      </c>
      <c r="K97" s="15">
        <f>PRODUCT(Table2[[#This Row],[Ticket Price]],Table2[[#This Row],[Passenger Count]])</f>
        <v>11375000</v>
      </c>
      <c r="L97" s="15">
        <f>Table2[[#This Row],[Revenue]]*(1-$O$2)</f>
        <v>10237500</v>
      </c>
    </row>
    <row r="98" spans="1:12" x14ac:dyDescent="0.35">
      <c r="A98" t="s">
        <v>93</v>
      </c>
      <c r="B98" t="s">
        <v>429</v>
      </c>
      <c r="C98" t="s">
        <v>584</v>
      </c>
      <c r="D98" s="2" t="s">
        <v>585</v>
      </c>
      <c r="E98" s="1" t="s">
        <v>592</v>
      </c>
      <c r="F98" s="3">
        <v>11</v>
      </c>
      <c r="G98" s="4">
        <v>60000</v>
      </c>
      <c r="H98" s="5">
        <v>87</v>
      </c>
      <c r="I98" s="6">
        <v>45734</v>
      </c>
      <c r="J98" s="2" t="s">
        <v>597</v>
      </c>
      <c r="K98" s="15">
        <f>PRODUCT(Table2[[#This Row],[Ticket Price]],Table2[[#This Row],[Passenger Count]])</f>
        <v>5220000</v>
      </c>
      <c r="L98" s="15">
        <f>Table2[[#This Row],[Revenue]]*(1-$O$2)</f>
        <v>4698000</v>
      </c>
    </row>
    <row r="99" spans="1:12" x14ac:dyDescent="0.35">
      <c r="A99" t="s">
        <v>94</v>
      </c>
      <c r="B99" t="s">
        <v>405</v>
      </c>
      <c r="C99" t="s">
        <v>586</v>
      </c>
      <c r="D99" s="2" t="s">
        <v>589</v>
      </c>
      <c r="E99" s="1" t="s">
        <v>594</v>
      </c>
      <c r="F99" s="3">
        <v>180</v>
      </c>
      <c r="G99" s="4">
        <v>125000</v>
      </c>
      <c r="H99" s="5">
        <v>67</v>
      </c>
      <c r="I99" s="6">
        <v>45805</v>
      </c>
      <c r="J99" s="2" t="s">
        <v>598</v>
      </c>
      <c r="K99" s="15">
        <f>PRODUCT(Table2[[#This Row],[Ticket Price]],Table2[[#This Row],[Passenger Count]])</f>
        <v>8375000</v>
      </c>
      <c r="L99" s="15">
        <f>Table2[[#This Row],[Revenue]]*(1-$O$2)</f>
        <v>7537500</v>
      </c>
    </row>
    <row r="100" spans="1:12" x14ac:dyDescent="0.35">
      <c r="A100" t="s">
        <v>95</v>
      </c>
      <c r="B100" t="s">
        <v>389</v>
      </c>
      <c r="C100" t="s">
        <v>582</v>
      </c>
      <c r="D100" s="2" t="s">
        <v>590</v>
      </c>
      <c r="E100" s="1" t="s">
        <v>595</v>
      </c>
      <c r="F100" s="3">
        <v>137</v>
      </c>
      <c r="G100" s="4">
        <v>30000</v>
      </c>
      <c r="H100" s="5">
        <v>96</v>
      </c>
      <c r="I100" s="6">
        <v>45679</v>
      </c>
      <c r="J100" s="2" t="s">
        <v>597</v>
      </c>
      <c r="K100" s="15">
        <f>PRODUCT(Table2[[#This Row],[Ticket Price]],Table2[[#This Row],[Passenger Count]])</f>
        <v>2880000</v>
      </c>
      <c r="L100" s="15">
        <f>Table2[[#This Row],[Revenue]]*(1-$O$2)</f>
        <v>2592000</v>
      </c>
    </row>
    <row r="101" spans="1:12" x14ac:dyDescent="0.35">
      <c r="A101" t="s">
        <v>96</v>
      </c>
      <c r="B101" t="s">
        <v>430</v>
      </c>
      <c r="C101" t="s">
        <v>584</v>
      </c>
      <c r="D101" s="2" t="s">
        <v>583</v>
      </c>
      <c r="E101" s="1" t="s">
        <v>595</v>
      </c>
      <c r="F101" s="3">
        <v>55</v>
      </c>
      <c r="G101" s="4">
        <v>115000</v>
      </c>
      <c r="H101" s="5">
        <v>140</v>
      </c>
      <c r="I101" s="6">
        <v>45685</v>
      </c>
      <c r="J101" s="2" t="s">
        <v>598</v>
      </c>
      <c r="K101" s="15">
        <f>PRODUCT(Table2[[#This Row],[Ticket Price]],Table2[[#This Row],[Passenger Count]])</f>
        <v>16100000</v>
      </c>
      <c r="L101" s="15">
        <f>Table2[[#This Row],[Revenue]]*(1-$O$2)</f>
        <v>14490000</v>
      </c>
    </row>
    <row r="102" spans="1:12" x14ac:dyDescent="0.35">
      <c r="A102" t="s">
        <v>97</v>
      </c>
      <c r="B102" t="s">
        <v>385</v>
      </c>
      <c r="C102" t="s">
        <v>581</v>
      </c>
      <c r="D102" s="2" t="s">
        <v>582</v>
      </c>
      <c r="E102" s="1" t="s">
        <v>595</v>
      </c>
      <c r="F102" s="3">
        <v>150</v>
      </c>
      <c r="G102" s="4">
        <v>95000</v>
      </c>
      <c r="H102" s="5">
        <v>122</v>
      </c>
      <c r="I102" s="6">
        <v>45828</v>
      </c>
      <c r="J102" s="2" t="s">
        <v>598</v>
      </c>
      <c r="K102" s="15">
        <f>PRODUCT(Table2[[#This Row],[Ticket Price]],Table2[[#This Row],[Passenger Count]])</f>
        <v>11590000</v>
      </c>
      <c r="L102" s="15">
        <f>Table2[[#This Row],[Revenue]]*(1-$O$2)</f>
        <v>10431000</v>
      </c>
    </row>
    <row r="103" spans="1:12" x14ac:dyDescent="0.35">
      <c r="A103" t="s">
        <v>98</v>
      </c>
      <c r="B103" t="s">
        <v>431</v>
      </c>
      <c r="C103" t="s">
        <v>586</v>
      </c>
      <c r="D103" s="2" t="s">
        <v>589</v>
      </c>
      <c r="E103" s="1" t="s">
        <v>592</v>
      </c>
      <c r="F103" s="3">
        <v>72</v>
      </c>
      <c r="G103" s="4">
        <v>105000</v>
      </c>
      <c r="H103" s="5">
        <v>129</v>
      </c>
      <c r="I103" s="6">
        <v>45805</v>
      </c>
      <c r="J103" s="2" t="s">
        <v>598</v>
      </c>
      <c r="K103" s="15">
        <f>PRODUCT(Table2[[#This Row],[Ticket Price]],Table2[[#This Row],[Passenger Count]])</f>
        <v>13545000</v>
      </c>
      <c r="L103" s="15">
        <f>Table2[[#This Row],[Revenue]]*(1-$O$2)</f>
        <v>12190500</v>
      </c>
    </row>
    <row r="104" spans="1:12" x14ac:dyDescent="0.35">
      <c r="A104" t="s">
        <v>99</v>
      </c>
      <c r="B104" t="s">
        <v>423</v>
      </c>
      <c r="C104" t="s">
        <v>581</v>
      </c>
      <c r="D104" s="2" t="s">
        <v>584</v>
      </c>
      <c r="E104" s="1" t="s">
        <v>594</v>
      </c>
      <c r="F104" s="3">
        <v>96</v>
      </c>
      <c r="G104" s="4">
        <v>65000</v>
      </c>
      <c r="H104" s="5">
        <v>126</v>
      </c>
      <c r="I104" s="6">
        <v>45808</v>
      </c>
      <c r="J104" s="2" t="s">
        <v>597</v>
      </c>
      <c r="K104" s="15">
        <f>PRODUCT(Table2[[#This Row],[Ticket Price]],Table2[[#This Row],[Passenger Count]])</f>
        <v>8190000</v>
      </c>
      <c r="L104" s="15">
        <f>Table2[[#This Row],[Revenue]]*(1-$O$2)</f>
        <v>7371000</v>
      </c>
    </row>
    <row r="105" spans="1:12" x14ac:dyDescent="0.35">
      <c r="A105" t="s">
        <v>100</v>
      </c>
      <c r="B105" t="s">
        <v>432</v>
      </c>
      <c r="C105" t="s">
        <v>582</v>
      </c>
      <c r="D105" s="2" t="s">
        <v>583</v>
      </c>
      <c r="E105" s="1" t="s">
        <v>596</v>
      </c>
      <c r="F105" s="3">
        <v>75</v>
      </c>
      <c r="G105" s="4">
        <v>145000</v>
      </c>
      <c r="H105" s="5">
        <v>120</v>
      </c>
      <c r="I105" s="6">
        <v>45727</v>
      </c>
      <c r="J105" s="2" t="s">
        <v>597</v>
      </c>
      <c r="K105" s="15">
        <f>PRODUCT(Table2[[#This Row],[Ticket Price]],Table2[[#This Row],[Passenger Count]])</f>
        <v>17400000</v>
      </c>
      <c r="L105" s="15">
        <f>Table2[[#This Row],[Revenue]]*(1-$O$2)</f>
        <v>15660000</v>
      </c>
    </row>
    <row r="106" spans="1:12" x14ac:dyDescent="0.35">
      <c r="A106" t="s">
        <v>101</v>
      </c>
      <c r="B106" t="s">
        <v>433</v>
      </c>
      <c r="C106" t="s">
        <v>585</v>
      </c>
      <c r="D106" s="2" t="s">
        <v>589</v>
      </c>
      <c r="E106" s="1" t="s">
        <v>592</v>
      </c>
      <c r="F106" s="3">
        <v>158</v>
      </c>
      <c r="G106" s="4">
        <v>65000</v>
      </c>
      <c r="H106" s="5">
        <v>108</v>
      </c>
      <c r="I106" s="6">
        <v>45836</v>
      </c>
      <c r="J106" s="2" t="s">
        <v>597</v>
      </c>
      <c r="K106" s="15">
        <f>PRODUCT(Table2[[#This Row],[Ticket Price]],Table2[[#This Row],[Passenger Count]])</f>
        <v>7020000</v>
      </c>
      <c r="L106" s="15">
        <f>Table2[[#This Row],[Revenue]]*(1-$O$2)</f>
        <v>6318000</v>
      </c>
    </row>
    <row r="107" spans="1:12" x14ac:dyDescent="0.35">
      <c r="A107" t="s">
        <v>102</v>
      </c>
      <c r="B107" t="s">
        <v>434</v>
      </c>
      <c r="C107" t="s">
        <v>582</v>
      </c>
      <c r="D107" s="2" t="s">
        <v>589</v>
      </c>
      <c r="E107" s="1" t="s">
        <v>592</v>
      </c>
      <c r="F107" s="3">
        <v>127</v>
      </c>
      <c r="G107" s="4">
        <v>80000</v>
      </c>
      <c r="H107" s="5">
        <v>60</v>
      </c>
      <c r="I107" s="6">
        <v>45742</v>
      </c>
      <c r="J107" s="2" t="s">
        <v>597</v>
      </c>
      <c r="K107" s="15">
        <f>PRODUCT(Table2[[#This Row],[Ticket Price]],Table2[[#This Row],[Passenger Count]])</f>
        <v>4800000</v>
      </c>
      <c r="L107" s="15">
        <f>Table2[[#This Row],[Revenue]]*(1-$O$2)</f>
        <v>4320000</v>
      </c>
    </row>
    <row r="108" spans="1:12" x14ac:dyDescent="0.35">
      <c r="A108" t="s">
        <v>103</v>
      </c>
      <c r="B108" t="s">
        <v>435</v>
      </c>
      <c r="C108" t="s">
        <v>587</v>
      </c>
      <c r="D108" s="2" t="s">
        <v>583</v>
      </c>
      <c r="E108" s="1" t="s">
        <v>592</v>
      </c>
      <c r="F108" s="3">
        <v>12</v>
      </c>
      <c r="G108" s="4">
        <v>95000</v>
      </c>
      <c r="H108" s="5">
        <v>82</v>
      </c>
      <c r="I108" s="6">
        <v>45751</v>
      </c>
      <c r="J108" s="2" t="s">
        <v>597</v>
      </c>
      <c r="K108" s="15">
        <f>PRODUCT(Table2[[#This Row],[Ticket Price]],Table2[[#This Row],[Passenger Count]])</f>
        <v>7790000</v>
      </c>
      <c r="L108" s="15">
        <f>Table2[[#This Row],[Revenue]]*(1-$O$2)</f>
        <v>7011000</v>
      </c>
    </row>
    <row r="109" spans="1:12" x14ac:dyDescent="0.35">
      <c r="A109" t="s">
        <v>104</v>
      </c>
      <c r="B109" t="s">
        <v>427</v>
      </c>
      <c r="C109" t="s">
        <v>588</v>
      </c>
      <c r="D109" s="2" t="s">
        <v>587</v>
      </c>
      <c r="E109" s="1" t="s">
        <v>593</v>
      </c>
      <c r="F109" s="3">
        <v>146</v>
      </c>
      <c r="G109" s="4">
        <v>55000</v>
      </c>
      <c r="H109" s="5">
        <v>165</v>
      </c>
      <c r="I109" s="6">
        <v>45725</v>
      </c>
      <c r="J109" s="2" t="s">
        <v>597</v>
      </c>
      <c r="K109" s="15">
        <f>PRODUCT(Table2[[#This Row],[Ticket Price]],Table2[[#This Row],[Passenger Count]])</f>
        <v>9075000</v>
      </c>
      <c r="L109" s="15">
        <f>Table2[[#This Row],[Revenue]]*(1-$O$2)</f>
        <v>8167500</v>
      </c>
    </row>
    <row r="110" spans="1:12" x14ac:dyDescent="0.35">
      <c r="A110" t="s">
        <v>105</v>
      </c>
      <c r="B110" t="s">
        <v>436</v>
      </c>
      <c r="C110" t="s">
        <v>585</v>
      </c>
      <c r="D110" s="2" t="s">
        <v>584</v>
      </c>
      <c r="E110" s="1" t="s">
        <v>596</v>
      </c>
      <c r="F110" s="3">
        <v>35</v>
      </c>
      <c r="G110" s="4">
        <v>85000</v>
      </c>
      <c r="H110" s="5">
        <v>152</v>
      </c>
      <c r="I110" s="6">
        <v>45666</v>
      </c>
      <c r="J110" s="2" t="s">
        <v>597</v>
      </c>
      <c r="K110" s="15">
        <f>PRODUCT(Table2[[#This Row],[Ticket Price]],Table2[[#This Row],[Passenger Count]])</f>
        <v>12920000</v>
      </c>
      <c r="L110" s="15">
        <f>Table2[[#This Row],[Revenue]]*(1-$O$2)</f>
        <v>11628000</v>
      </c>
    </row>
    <row r="111" spans="1:12" x14ac:dyDescent="0.35">
      <c r="A111" t="s">
        <v>106</v>
      </c>
      <c r="B111" t="s">
        <v>437</v>
      </c>
      <c r="C111" t="s">
        <v>584</v>
      </c>
      <c r="D111" s="2" t="s">
        <v>589</v>
      </c>
      <c r="E111" s="1" t="s">
        <v>592</v>
      </c>
      <c r="F111" s="3">
        <v>159</v>
      </c>
      <c r="G111" s="4">
        <v>100000</v>
      </c>
      <c r="H111" s="5">
        <v>66</v>
      </c>
      <c r="I111" s="6">
        <v>45716</v>
      </c>
      <c r="J111" s="2" t="s">
        <v>598</v>
      </c>
      <c r="K111" s="15">
        <f>PRODUCT(Table2[[#This Row],[Ticket Price]],Table2[[#This Row],[Passenger Count]])</f>
        <v>6600000</v>
      </c>
      <c r="L111" s="15">
        <f>Table2[[#This Row],[Revenue]]*(1-$O$2)</f>
        <v>5940000</v>
      </c>
    </row>
    <row r="112" spans="1:12" x14ac:dyDescent="0.35">
      <c r="A112" t="s">
        <v>107</v>
      </c>
      <c r="B112" t="s">
        <v>438</v>
      </c>
      <c r="C112" t="s">
        <v>585</v>
      </c>
      <c r="D112" s="2" t="s">
        <v>591</v>
      </c>
      <c r="E112" s="1" t="s">
        <v>596</v>
      </c>
      <c r="F112" s="3">
        <v>154</v>
      </c>
      <c r="G112" s="4">
        <v>105000</v>
      </c>
      <c r="H112" s="5">
        <v>167</v>
      </c>
      <c r="I112" s="6">
        <v>45662</v>
      </c>
      <c r="J112" s="2" t="s">
        <v>597</v>
      </c>
      <c r="K112" s="15">
        <f>PRODUCT(Table2[[#This Row],[Ticket Price]],Table2[[#This Row],[Passenger Count]])</f>
        <v>17535000</v>
      </c>
      <c r="L112" s="15">
        <f>Table2[[#This Row],[Revenue]]*(1-$O$2)</f>
        <v>15781500</v>
      </c>
    </row>
    <row r="113" spans="1:12" x14ac:dyDescent="0.35">
      <c r="A113" t="s">
        <v>108</v>
      </c>
      <c r="B113" t="s">
        <v>431</v>
      </c>
      <c r="C113" t="s">
        <v>581</v>
      </c>
      <c r="D113" s="2" t="s">
        <v>589</v>
      </c>
      <c r="E113" s="1" t="s">
        <v>594</v>
      </c>
      <c r="F113" s="3">
        <v>174</v>
      </c>
      <c r="G113" s="4">
        <v>35000</v>
      </c>
      <c r="H113" s="5">
        <v>103</v>
      </c>
      <c r="I113" s="6">
        <v>45730</v>
      </c>
      <c r="J113" s="2" t="s">
        <v>597</v>
      </c>
      <c r="K113" s="15">
        <f>PRODUCT(Table2[[#This Row],[Ticket Price]],Table2[[#This Row],[Passenger Count]])</f>
        <v>3605000</v>
      </c>
      <c r="L113" s="15">
        <f>Table2[[#This Row],[Revenue]]*(1-$O$2)</f>
        <v>3244500</v>
      </c>
    </row>
    <row r="114" spans="1:12" x14ac:dyDescent="0.35">
      <c r="A114" t="s">
        <v>109</v>
      </c>
      <c r="B114" t="s">
        <v>439</v>
      </c>
      <c r="C114" t="s">
        <v>586</v>
      </c>
      <c r="D114" s="2" t="s">
        <v>583</v>
      </c>
      <c r="E114" s="1" t="s">
        <v>593</v>
      </c>
      <c r="F114" s="3">
        <v>83</v>
      </c>
      <c r="G114" s="4">
        <v>50000</v>
      </c>
      <c r="H114" s="5">
        <v>122</v>
      </c>
      <c r="I114" s="6">
        <v>45816</v>
      </c>
      <c r="J114" s="2" t="s">
        <v>598</v>
      </c>
      <c r="K114" s="15">
        <f>PRODUCT(Table2[[#This Row],[Ticket Price]],Table2[[#This Row],[Passenger Count]])</f>
        <v>6100000</v>
      </c>
      <c r="L114" s="15">
        <f>Table2[[#This Row],[Revenue]]*(1-$O$2)</f>
        <v>5490000</v>
      </c>
    </row>
    <row r="115" spans="1:12" x14ac:dyDescent="0.35">
      <c r="A115" t="s">
        <v>110</v>
      </c>
      <c r="B115" t="s">
        <v>440</v>
      </c>
      <c r="C115" t="s">
        <v>587</v>
      </c>
      <c r="D115" s="2" t="s">
        <v>589</v>
      </c>
      <c r="E115" s="1" t="s">
        <v>595</v>
      </c>
      <c r="F115" s="3">
        <v>180</v>
      </c>
      <c r="G115" s="4">
        <v>115000</v>
      </c>
      <c r="H115" s="5">
        <v>67</v>
      </c>
      <c r="I115" s="6">
        <v>45822</v>
      </c>
      <c r="J115" s="2" t="s">
        <v>598</v>
      </c>
      <c r="K115" s="15">
        <f>PRODUCT(Table2[[#This Row],[Ticket Price]],Table2[[#This Row],[Passenger Count]])</f>
        <v>7705000</v>
      </c>
      <c r="L115" s="15">
        <f>Table2[[#This Row],[Revenue]]*(1-$O$2)</f>
        <v>6934500</v>
      </c>
    </row>
    <row r="116" spans="1:12" x14ac:dyDescent="0.35">
      <c r="A116" t="s">
        <v>111</v>
      </c>
      <c r="B116" t="s">
        <v>368</v>
      </c>
      <c r="C116" t="s">
        <v>587</v>
      </c>
      <c r="D116" s="2" t="s">
        <v>584</v>
      </c>
      <c r="E116" s="1" t="s">
        <v>595</v>
      </c>
      <c r="F116" s="3">
        <v>41</v>
      </c>
      <c r="G116" s="4">
        <v>45000</v>
      </c>
      <c r="H116" s="5">
        <v>85</v>
      </c>
      <c r="I116" s="6">
        <v>45664</v>
      </c>
      <c r="J116" s="2" t="s">
        <v>597</v>
      </c>
      <c r="K116" s="15">
        <f>PRODUCT(Table2[[#This Row],[Ticket Price]],Table2[[#This Row],[Passenger Count]])</f>
        <v>3825000</v>
      </c>
      <c r="L116" s="15">
        <f>Table2[[#This Row],[Revenue]]*(1-$O$2)</f>
        <v>3442500</v>
      </c>
    </row>
    <row r="117" spans="1:12" x14ac:dyDescent="0.35">
      <c r="A117" t="s">
        <v>112</v>
      </c>
      <c r="B117" t="s">
        <v>441</v>
      </c>
      <c r="C117" t="s">
        <v>581</v>
      </c>
      <c r="D117" s="2" t="s">
        <v>589</v>
      </c>
      <c r="E117" s="1" t="s">
        <v>594</v>
      </c>
      <c r="F117" s="3">
        <v>91</v>
      </c>
      <c r="G117" s="4">
        <v>95000</v>
      </c>
      <c r="H117" s="5">
        <v>161</v>
      </c>
      <c r="I117" s="6">
        <v>45758</v>
      </c>
      <c r="J117" s="2" t="s">
        <v>598</v>
      </c>
      <c r="K117" s="15">
        <f>PRODUCT(Table2[[#This Row],[Ticket Price]],Table2[[#This Row],[Passenger Count]])</f>
        <v>15295000</v>
      </c>
      <c r="L117" s="15">
        <f>Table2[[#This Row],[Revenue]]*(1-$O$2)</f>
        <v>13765500</v>
      </c>
    </row>
    <row r="118" spans="1:12" x14ac:dyDescent="0.35">
      <c r="A118" t="s">
        <v>113</v>
      </c>
      <c r="B118" t="s">
        <v>442</v>
      </c>
      <c r="C118" t="s">
        <v>582</v>
      </c>
      <c r="D118" s="2" t="s">
        <v>583</v>
      </c>
      <c r="E118" s="1" t="s">
        <v>595</v>
      </c>
      <c r="F118" s="3">
        <v>175</v>
      </c>
      <c r="G118" s="4">
        <v>150000</v>
      </c>
      <c r="H118" s="5">
        <v>114</v>
      </c>
      <c r="I118" s="6">
        <v>45710</v>
      </c>
      <c r="J118" s="2" t="s">
        <v>598</v>
      </c>
      <c r="K118" s="15">
        <f>PRODUCT(Table2[[#This Row],[Ticket Price]],Table2[[#This Row],[Passenger Count]])</f>
        <v>17100000</v>
      </c>
      <c r="L118" s="15">
        <f>Table2[[#This Row],[Revenue]]*(1-$O$2)</f>
        <v>15390000</v>
      </c>
    </row>
    <row r="119" spans="1:12" x14ac:dyDescent="0.35">
      <c r="A119" t="s">
        <v>114</v>
      </c>
      <c r="B119" t="s">
        <v>443</v>
      </c>
      <c r="C119" t="s">
        <v>583</v>
      </c>
      <c r="D119" s="2" t="s">
        <v>587</v>
      </c>
      <c r="E119" s="1" t="s">
        <v>592</v>
      </c>
      <c r="F119" s="3">
        <v>118</v>
      </c>
      <c r="G119" s="4">
        <v>70000</v>
      </c>
      <c r="H119" s="5">
        <v>167</v>
      </c>
      <c r="I119" s="6">
        <v>45806</v>
      </c>
      <c r="J119" s="2" t="s">
        <v>597</v>
      </c>
      <c r="K119" s="15">
        <f>PRODUCT(Table2[[#This Row],[Ticket Price]],Table2[[#This Row],[Passenger Count]])</f>
        <v>11690000</v>
      </c>
      <c r="L119" s="15">
        <f>Table2[[#This Row],[Revenue]]*(1-$O$2)</f>
        <v>10521000</v>
      </c>
    </row>
    <row r="120" spans="1:12" x14ac:dyDescent="0.35">
      <c r="A120" t="s">
        <v>115</v>
      </c>
      <c r="B120" t="s">
        <v>397</v>
      </c>
      <c r="C120" t="s">
        <v>587</v>
      </c>
      <c r="D120" s="2" t="s">
        <v>591</v>
      </c>
      <c r="E120" s="1" t="s">
        <v>596</v>
      </c>
      <c r="F120" s="3">
        <v>127</v>
      </c>
      <c r="G120" s="4">
        <v>40000</v>
      </c>
      <c r="H120" s="5">
        <v>109</v>
      </c>
      <c r="I120" s="6">
        <v>45674</v>
      </c>
      <c r="J120" s="2" t="s">
        <v>597</v>
      </c>
      <c r="K120" s="15">
        <f>PRODUCT(Table2[[#This Row],[Ticket Price]],Table2[[#This Row],[Passenger Count]])</f>
        <v>4360000</v>
      </c>
      <c r="L120" s="15">
        <f>Table2[[#This Row],[Revenue]]*(1-$O$2)</f>
        <v>3924000</v>
      </c>
    </row>
    <row r="121" spans="1:12" x14ac:dyDescent="0.35">
      <c r="A121" t="s">
        <v>116</v>
      </c>
      <c r="B121" t="s">
        <v>444</v>
      </c>
      <c r="C121" t="s">
        <v>586</v>
      </c>
      <c r="D121" s="2" t="s">
        <v>585</v>
      </c>
      <c r="E121" s="1" t="s">
        <v>594</v>
      </c>
      <c r="F121" s="3">
        <v>42</v>
      </c>
      <c r="G121" s="4">
        <v>35000</v>
      </c>
      <c r="H121" s="5">
        <v>71</v>
      </c>
      <c r="I121" s="6">
        <v>45671</v>
      </c>
      <c r="J121" s="2" t="s">
        <v>598</v>
      </c>
      <c r="K121" s="15">
        <f>PRODUCT(Table2[[#This Row],[Ticket Price]],Table2[[#This Row],[Passenger Count]])</f>
        <v>2485000</v>
      </c>
      <c r="L121" s="15">
        <f>Table2[[#This Row],[Revenue]]*(1-$O$2)</f>
        <v>2236500</v>
      </c>
    </row>
    <row r="122" spans="1:12" x14ac:dyDescent="0.35">
      <c r="A122" t="s">
        <v>117</v>
      </c>
      <c r="B122" t="s">
        <v>445</v>
      </c>
      <c r="C122" t="s">
        <v>584</v>
      </c>
      <c r="D122" s="2" t="s">
        <v>590</v>
      </c>
      <c r="E122" s="1" t="s">
        <v>592</v>
      </c>
      <c r="F122" s="3">
        <v>112</v>
      </c>
      <c r="G122" s="4">
        <v>40000</v>
      </c>
      <c r="H122" s="5">
        <v>166</v>
      </c>
      <c r="I122" s="6">
        <v>45667</v>
      </c>
      <c r="J122" s="2" t="s">
        <v>597</v>
      </c>
      <c r="K122" s="15">
        <f>PRODUCT(Table2[[#This Row],[Ticket Price]],Table2[[#This Row],[Passenger Count]])</f>
        <v>6640000</v>
      </c>
      <c r="L122" s="15">
        <f>Table2[[#This Row],[Revenue]]*(1-$O$2)</f>
        <v>5976000</v>
      </c>
    </row>
    <row r="123" spans="1:12" x14ac:dyDescent="0.35">
      <c r="A123" t="s">
        <v>118</v>
      </c>
      <c r="B123" t="s">
        <v>388</v>
      </c>
      <c r="C123" t="s">
        <v>582</v>
      </c>
      <c r="D123" s="2" t="s">
        <v>584</v>
      </c>
      <c r="E123" s="1" t="s">
        <v>596</v>
      </c>
      <c r="F123" s="3">
        <v>26</v>
      </c>
      <c r="G123" s="4">
        <v>95000</v>
      </c>
      <c r="H123" s="5">
        <v>168</v>
      </c>
      <c r="I123" s="6">
        <v>45666</v>
      </c>
      <c r="J123" s="2" t="s">
        <v>597</v>
      </c>
      <c r="K123" s="15">
        <f>PRODUCT(Table2[[#This Row],[Ticket Price]],Table2[[#This Row],[Passenger Count]])</f>
        <v>15960000</v>
      </c>
      <c r="L123" s="15">
        <f>Table2[[#This Row],[Revenue]]*(1-$O$2)</f>
        <v>14364000</v>
      </c>
    </row>
    <row r="124" spans="1:12" x14ac:dyDescent="0.35">
      <c r="A124" t="s">
        <v>119</v>
      </c>
      <c r="B124" t="s">
        <v>446</v>
      </c>
      <c r="C124" t="s">
        <v>581</v>
      </c>
      <c r="D124" s="2" t="s">
        <v>591</v>
      </c>
      <c r="E124" s="1" t="s">
        <v>592</v>
      </c>
      <c r="F124" s="3">
        <v>97</v>
      </c>
      <c r="G124" s="4">
        <v>60000</v>
      </c>
      <c r="H124" s="5">
        <v>161</v>
      </c>
      <c r="I124" s="6">
        <v>45794</v>
      </c>
      <c r="J124" s="2" t="s">
        <v>598</v>
      </c>
      <c r="K124" s="15">
        <f>PRODUCT(Table2[[#This Row],[Ticket Price]],Table2[[#This Row],[Passenger Count]])</f>
        <v>9660000</v>
      </c>
      <c r="L124" s="15">
        <f>Table2[[#This Row],[Revenue]]*(1-$O$2)</f>
        <v>8694000</v>
      </c>
    </row>
    <row r="125" spans="1:12" x14ac:dyDescent="0.35">
      <c r="A125" t="s">
        <v>120</v>
      </c>
      <c r="B125" t="s">
        <v>412</v>
      </c>
      <c r="C125" t="s">
        <v>584</v>
      </c>
      <c r="D125" s="2" t="s">
        <v>590</v>
      </c>
      <c r="E125" s="1" t="s">
        <v>593</v>
      </c>
      <c r="F125" s="3">
        <v>-2</v>
      </c>
      <c r="G125" s="4">
        <v>85000</v>
      </c>
      <c r="H125" s="5">
        <v>76</v>
      </c>
      <c r="I125" s="6">
        <v>45838</v>
      </c>
      <c r="J125" s="2" t="s">
        <v>598</v>
      </c>
      <c r="K125" s="15">
        <f>PRODUCT(Table2[[#This Row],[Ticket Price]],Table2[[#This Row],[Passenger Count]])</f>
        <v>6460000</v>
      </c>
      <c r="L125" s="15">
        <f>Table2[[#This Row],[Revenue]]*(1-$O$2)</f>
        <v>5814000</v>
      </c>
    </row>
    <row r="126" spans="1:12" x14ac:dyDescent="0.35">
      <c r="A126" t="s">
        <v>121</v>
      </c>
      <c r="B126" t="s">
        <v>406</v>
      </c>
      <c r="C126" t="s">
        <v>586</v>
      </c>
      <c r="D126" s="2" t="s">
        <v>585</v>
      </c>
      <c r="E126" s="1" t="s">
        <v>593</v>
      </c>
      <c r="F126" s="3">
        <v>150</v>
      </c>
      <c r="G126" s="4">
        <v>110000</v>
      </c>
      <c r="H126" s="5">
        <v>86</v>
      </c>
      <c r="I126" s="6">
        <v>45833</v>
      </c>
      <c r="J126" s="2" t="s">
        <v>597</v>
      </c>
      <c r="K126" s="15">
        <f>PRODUCT(Table2[[#This Row],[Ticket Price]],Table2[[#This Row],[Passenger Count]])</f>
        <v>9460000</v>
      </c>
      <c r="L126" s="15">
        <f>Table2[[#This Row],[Revenue]]*(1-$O$2)</f>
        <v>8514000</v>
      </c>
    </row>
    <row r="127" spans="1:12" x14ac:dyDescent="0.35">
      <c r="A127" t="s">
        <v>122</v>
      </c>
      <c r="B127" t="s">
        <v>447</v>
      </c>
      <c r="C127" t="s">
        <v>585</v>
      </c>
      <c r="D127" s="2" t="s">
        <v>583</v>
      </c>
      <c r="E127" s="1" t="s">
        <v>592</v>
      </c>
      <c r="F127" s="3">
        <v>67</v>
      </c>
      <c r="G127" s="4">
        <v>25000</v>
      </c>
      <c r="H127" s="5">
        <v>137</v>
      </c>
      <c r="I127" s="6">
        <v>45703</v>
      </c>
      <c r="J127" s="2" t="s">
        <v>597</v>
      </c>
      <c r="K127" s="15">
        <f>PRODUCT(Table2[[#This Row],[Ticket Price]],Table2[[#This Row],[Passenger Count]])</f>
        <v>3425000</v>
      </c>
      <c r="L127" s="15">
        <f>Table2[[#This Row],[Revenue]]*(1-$O$2)</f>
        <v>3082500</v>
      </c>
    </row>
    <row r="128" spans="1:12" x14ac:dyDescent="0.35">
      <c r="A128" t="s">
        <v>123</v>
      </c>
      <c r="B128" t="s">
        <v>448</v>
      </c>
      <c r="C128" t="s">
        <v>586</v>
      </c>
      <c r="D128" s="2" t="s">
        <v>583</v>
      </c>
      <c r="E128" s="1" t="s">
        <v>593</v>
      </c>
      <c r="F128" s="3">
        <v>29</v>
      </c>
      <c r="G128" s="4">
        <v>70000</v>
      </c>
      <c r="H128" s="5">
        <v>148</v>
      </c>
      <c r="I128" s="6">
        <v>45767</v>
      </c>
      <c r="J128" s="2" t="s">
        <v>597</v>
      </c>
      <c r="K128" s="15">
        <f>PRODUCT(Table2[[#This Row],[Ticket Price]],Table2[[#This Row],[Passenger Count]])</f>
        <v>10360000</v>
      </c>
      <c r="L128" s="15">
        <f>Table2[[#This Row],[Revenue]]*(1-$O$2)</f>
        <v>9324000</v>
      </c>
    </row>
    <row r="129" spans="1:12" x14ac:dyDescent="0.35">
      <c r="A129" t="s">
        <v>124</v>
      </c>
      <c r="B129" t="s">
        <v>449</v>
      </c>
      <c r="C129" t="s">
        <v>583</v>
      </c>
      <c r="D129" s="2" t="s">
        <v>584</v>
      </c>
      <c r="E129" s="1" t="s">
        <v>596</v>
      </c>
      <c r="F129" s="3">
        <v>125</v>
      </c>
      <c r="G129" s="4">
        <v>65000</v>
      </c>
      <c r="H129" s="5">
        <v>81</v>
      </c>
      <c r="I129" s="6">
        <v>45735</v>
      </c>
      <c r="J129" s="2" t="s">
        <v>597</v>
      </c>
      <c r="K129" s="15">
        <f>PRODUCT(Table2[[#This Row],[Ticket Price]],Table2[[#This Row],[Passenger Count]])</f>
        <v>5265000</v>
      </c>
      <c r="L129" s="15">
        <f>Table2[[#This Row],[Revenue]]*(1-$O$2)</f>
        <v>4738500</v>
      </c>
    </row>
    <row r="130" spans="1:12" x14ac:dyDescent="0.35">
      <c r="A130" t="s">
        <v>125</v>
      </c>
      <c r="B130" t="s">
        <v>381</v>
      </c>
      <c r="C130" t="s">
        <v>585</v>
      </c>
      <c r="D130" s="2" t="s">
        <v>587</v>
      </c>
      <c r="E130" s="1" t="s">
        <v>595</v>
      </c>
      <c r="F130" s="3">
        <v>17</v>
      </c>
      <c r="G130" s="4">
        <v>60000</v>
      </c>
      <c r="H130" s="5">
        <v>96</v>
      </c>
      <c r="I130" s="6">
        <v>45666</v>
      </c>
      <c r="J130" s="2" t="s">
        <v>597</v>
      </c>
      <c r="K130" s="15">
        <f>PRODUCT(Table2[[#This Row],[Ticket Price]],Table2[[#This Row],[Passenger Count]])</f>
        <v>5760000</v>
      </c>
      <c r="L130" s="15">
        <f>Table2[[#This Row],[Revenue]]*(1-$O$2)</f>
        <v>5184000</v>
      </c>
    </row>
    <row r="131" spans="1:12" x14ac:dyDescent="0.35">
      <c r="A131" t="s">
        <v>126</v>
      </c>
      <c r="B131" t="s">
        <v>372</v>
      </c>
      <c r="C131" t="s">
        <v>587</v>
      </c>
      <c r="D131" s="2" t="s">
        <v>591</v>
      </c>
      <c r="E131" s="1" t="s">
        <v>595</v>
      </c>
      <c r="F131" s="3">
        <v>74</v>
      </c>
      <c r="G131" s="4">
        <v>25000</v>
      </c>
      <c r="H131" s="5">
        <v>134</v>
      </c>
      <c r="I131" s="6">
        <v>45700</v>
      </c>
      <c r="J131" s="2" t="s">
        <v>597</v>
      </c>
      <c r="K131" s="15">
        <f>PRODUCT(Table2[[#This Row],[Ticket Price]],Table2[[#This Row],[Passenger Count]])</f>
        <v>3350000</v>
      </c>
      <c r="L131" s="15">
        <f>Table2[[#This Row],[Revenue]]*(1-$O$2)</f>
        <v>3015000</v>
      </c>
    </row>
    <row r="132" spans="1:12" x14ac:dyDescent="0.35">
      <c r="A132" t="s">
        <v>127</v>
      </c>
      <c r="B132" t="s">
        <v>347</v>
      </c>
      <c r="C132" t="s">
        <v>582</v>
      </c>
      <c r="D132" s="2" t="s">
        <v>589</v>
      </c>
      <c r="E132" s="1" t="s">
        <v>595</v>
      </c>
      <c r="F132" s="3">
        <v>151</v>
      </c>
      <c r="G132" s="4">
        <v>50000</v>
      </c>
      <c r="H132" s="5">
        <v>146</v>
      </c>
      <c r="I132" s="6">
        <v>45698</v>
      </c>
      <c r="J132" s="2" t="s">
        <v>597</v>
      </c>
      <c r="K132" s="15">
        <f>PRODUCT(Table2[[#This Row],[Ticket Price]],Table2[[#This Row],[Passenger Count]])</f>
        <v>7300000</v>
      </c>
      <c r="L132" s="15">
        <f>Table2[[#This Row],[Revenue]]*(1-$O$2)</f>
        <v>6570000</v>
      </c>
    </row>
    <row r="133" spans="1:12" x14ac:dyDescent="0.35">
      <c r="A133" t="s">
        <v>128</v>
      </c>
      <c r="B133" t="s">
        <v>450</v>
      </c>
      <c r="C133" t="s">
        <v>588</v>
      </c>
      <c r="D133" s="2" t="s">
        <v>583</v>
      </c>
      <c r="E133" s="1" t="s">
        <v>592</v>
      </c>
      <c r="F133" s="3">
        <v>81</v>
      </c>
      <c r="G133" s="4">
        <v>120000</v>
      </c>
      <c r="H133" s="5">
        <v>142</v>
      </c>
      <c r="I133" s="6">
        <v>45700</v>
      </c>
      <c r="J133" s="2" t="s">
        <v>598</v>
      </c>
      <c r="K133" s="15">
        <f>PRODUCT(Table2[[#This Row],[Ticket Price]],Table2[[#This Row],[Passenger Count]])</f>
        <v>17040000</v>
      </c>
      <c r="L133" s="15">
        <f>Table2[[#This Row],[Revenue]]*(1-$O$2)</f>
        <v>15336000</v>
      </c>
    </row>
    <row r="134" spans="1:12" x14ac:dyDescent="0.35">
      <c r="A134" t="s">
        <v>129</v>
      </c>
      <c r="B134" t="s">
        <v>451</v>
      </c>
      <c r="C134" t="s">
        <v>583</v>
      </c>
      <c r="D134" s="2" t="s">
        <v>591</v>
      </c>
      <c r="E134" s="1" t="s">
        <v>593</v>
      </c>
      <c r="F134" s="3">
        <v>141</v>
      </c>
      <c r="G134" s="4">
        <v>80000</v>
      </c>
      <c r="H134" s="5">
        <v>79</v>
      </c>
      <c r="I134" s="6">
        <v>45666</v>
      </c>
      <c r="J134" s="2" t="s">
        <v>598</v>
      </c>
      <c r="K134" s="15">
        <f>PRODUCT(Table2[[#This Row],[Ticket Price]],Table2[[#This Row],[Passenger Count]])</f>
        <v>6320000</v>
      </c>
      <c r="L134" s="15">
        <f>Table2[[#This Row],[Revenue]]*(1-$O$2)</f>
        <v>5688000</v>
      </c>
    </row>
    <row r="135" spans="1:12" x14ac:dyDescent="0.35">
      <c r="A135" t="s">
        <v>130</v>
      </c>
      <c r="B135" t="s">
        <v>452</v>
      </c>
      <c r="C135" t="s">
        <v>586</v>
      </c>
      <c r="D135" s="2" t="s">
        <v>583</v>
      </c>
      <c r="E135" s="1" t="s">
        <v>592</v>
      </c>
      <c r="F135" s="3">
        <v>18</v>
      </c>
      <c r="G135" s="4">
        <v>120000</v>
      </c>
      <c r="H135" s="5">
        <v>134</v>
      </c>
      <c r="I135" s="6">
        <v>45812</v>
      </c>
      <c r="J135" s="2" t="s">
        <v>598</v>
      </c>
      <c r="K135" s="15">
        <f>PRODUCT(Table2[[#This Row],[Ticket Price]],Table2[[#This Row],[Passenger Count]])</f>
        <v>16080000</v>
      </c>
      <c r="L135" s="15">
        <f>Table2[[#This Row],[Revenue]]*(1-$O$2)</f>
        <v>14472000</v>
      </c>
    </row>
    <row r="136" spans="1:12" x14ac:dyDescent="0.35">
      <c r="A136" t="s">
        <v>131</v>
      </c>
      <c r="B136" t="s">
        <v>436</v>
      </c>
      <c r="C136" t="s">
        <v>588</v>
      </c>
      <c r="D136" s="2" t="s">
        <v>590</v>
      </c>
      <c r="E136" s="1" t="s">
        <v>593</v>
      </c>
      <c r="F136" s="3">
        <v>150</v>
      </c>
      <c r="G136" s="4">
        <v>60000</v>
      </c>
      <c r="H136" s="5">
        <v>66</v>
      </c>
      <c r="I136" s="6">
        <v>45668</v>
      </c>
      <c r="J136" s="2" t="s">
        <v>597</v>
      </c>
      <c r="K136" s="15">
        <f>PRODUCT(Table2[[#This Row],[Ticket Price]],Table2[[#This Row],[Passenger Count]])</f>
        <v>3960000</v>
      </c>
      <c r="L136" s="15">
        <f>Table2[[#This Row],[Revenue]]*(1-$O$2)</f>
        <v>3564000</v>
      </c>
    </row>
    <row r="137" spans="1:12" x14ac:dyDescent="0.35">
      <c r="A137" t="s">
        <v>132</v>
      </c>
      <c r="B137" t="s">
        <v>453</v>
      </c>
      <c r="C137" t="s">
        <v>583</v>
      </c>
      <c r="D137" s="2" t="s">
        <v>587</v>
      </c>
      <c r="E137" s="1" t="s">
        <v>595</v>
      </c>
      <c r="F137" s="3">
        <v>-4</v>
      </c>
      <c r="G137" s="4">
        <v>120000</v>
      </c>
      <c r="H137" s="5">
        <v>152</v>
      </c>
      <c r="I137" s="6">
        <v>45753</v>
      </c>
      <c r="J137" s="2" t="s">
        <v>598</v>
      </c>
      <c r="K137" s="15">
        <f>PRODUCT(Table2[[#This Row],[Ticket Price]],Table2[[#This Row],[Passenger Count]])</f>
        <v>18240000</v>
      </c>
      <c r="L137" s="15">
        <f>Table2[[#This Row],[Revenue]]*(1-$O$2)</f>
        <v>16416000</v>
      </c>
    </row>
    <row r="138" spans="1:12" x14ac:dyDescent="0.35">
      <c r="A138" t="s">
        <v>133</v>
      </c>
      <c r="B138" t="s">
        <v>454</v>
      </c>
      <c r="C138" t="s">
        <v>581</v>
      </c>
      <c r="D138" s="2" t="s">
        <v>589</v>
      </c>
      <c r="E138" s="1" t="s">
        <v>595</v>
      </c>
      <c r="F138" s="3">
        <v>98</v>
      </c>
      <c r="G138" s="4">
        <v>145000</v>
      </c>
      <c r="H138" s="5">
        <v>60</v>
      </c>
      <c r="I138" s="6">
        <v>45721</v>
      </c>
      <c r="J138" s="2" t="s">
        <v>597</v>
      </c>
      <c r="K138" s="15">
        <f>PRODUCT(Table2[[#This Row],[Ticket Price]],Table2[[#This Row],[Passenger Count]])</f>
        <v>8700000</v>
      </c>
      <c r="L138" s="15">
        <f>Table2[[#This Row],[Revenue]]*(1-$O$2)</f>
        <v>7830000</v>
      </c>
    </row>
    <row r="139" spans="1:12" x14ac:dyDescent="0.35">
      <c r="A139" t="s">
        <v>134</v>
      </c>
      <c r="B139" t="s">
        <v>455</v>
      </c>
      <c r="C139" t="s">
        <v>586</v>
      </c>
      <c r="D139" s="2" t="s">
        <v>582</v>
      </c>
      <c r="E139" s="1" t="s">
        <v>595</v>
      </c>
      <c r="F139" s="3">
        <v>7</v>
      </c>
      <c r="G139" s="4">
        <v>70000</v>
      </c>
      <c r="H139" s="5">
        <v>100</v>
      </c>
      <c r="I139" s="6">
        <v>45815</v>
      </c>
      <c r="J139" s="2" t="s">
        <v>598</v>
      </c>
      <c r="K139" s="15">
        <f>PRODUCT(Table2[[#This Row],[Ticket Price]],Table2[[#This Row],[Passenger Count]])</f>
        <v>7000000</v>
      </c>
      <c r="L139" s="15">
        <f>Table2[[#This Row],[Revenue]]*(1-$O$2)</f>
        <v>6300000</v>
      </c>
    </row>
    <row r="140" spans="1:12" x14ac:dyDescent="0.35">
      <c r="A140" t="s">
        <v>135</v>
      </c>
      <c r="B140" t="s">
        <v>456</v>
      </c>
      <c r="C140" t="s">
        <v>586</v>
      </c>
      <c r="D140" s="2" t="s">
        <v>590</v>
      </c>
      <c r="E140" s="1" t="s">
        <v>596</v>
      </c>
      <c r="F140" s="3">
        <v>164</v>
      </c>
      <c r="G140" s="4">
        <v>75000</v>
      </c>
      <c r="H140" s="5">
        <v>130</v>
      </c>
      <c r="I140" s="6">
        <v>45705</v>
      </c>
      <c r="J140" s="2" t="s">
        <v>597</v>
      </c>
      <c r="K140" s="15">
        <f>PRODUCT(Table2[[#This Row],[Ticket Price]],Table2[[#This Row],[Passenger Count]])</f>
        <v>9750000</v>
      </c>
      <c r="L140" s="15">
        <f>Table2[[#This Row],[Revenue]]*(1-$O$2)</f>
        <v>8775000</v>
      </c>
    </row>
    <row r="141" spans="1:12" x14ac:dyDescent="0.35">
      <c r="A141" t="s">
        <v>136</v>
      </c>
      <c r="B141" t="s">
        <v>425</v>
      </c>
      <c r="C141" t="s">
        <v>583</v>
      </c>
      <c r="D141" s="2" t="s">
        <v>589</v>
      </c>
      <c r="E141" s="1" t="s">
        <v>595</v>
      </c>
      <c r="F141" s="3">
        <v>76</v>
      </c>
      <c r="G141" s="4">
        <v>35000</v>
      </c>
      <c r="H141" s="5">
        <v>108</v>
      </c>
      <c r="I141" s="6">
        <v>45760</v>
      </c>
      <c r="J141" s="2" t="s">
        <v>598</v>
      </c>
      <c r="K141" s="15">
        <f>PRODUCT(Table2[[#This Row],[Ticket Price]],Table2[[#This Row],[Passenger Count]])</f>
        <v>3780000</v>
      </c>
      <c r="L141" s="15">
        <f>Table2[[#This Row],[Revenue]]*(1-$O$2)</f>
        <v>3402000</v>
      </c>
    </row>
    <row r="142" spans="1:12" x14ac:dyDescent="0.35">
      <c r="A142" t="s">
        <v>137</v>
      </c>
      <c r="B142" t="s">
        <v>457</v>
      </c>
      <c r="C142" t="s">
        <v>582</v>
      </c>
      <c r="D142" s="2" t="s">
        <v>587</v>
      </c>
      <c r="E142" s="1" t="s">
        <v>592</v>
      </c>
      <c r="F142" s="3">
        <v>32</v>
      </c>
      <c r="G142" s="4">
        <v>75000</v>
      </c>
      <c r="H142" s="5">
        <v>70</v>
      </c>
      <c r="I142" s="6">
        <v>45835</v>
      </c>
      <c r="J142" s="2" t="s">
        <v>597</v>
      </c>
      <c r="K142" s="15">
        <f>PRODUCT(Table2[[#This Row],[Ticket Price]],Table2[[#This Row],[Passenger Count]])</f>
        <v>5250000</v>
      </c>
      <c r="L142" s="15">
        <f>Table2[[#This Row],[Revenue]]*(1-$O$2)</f>
        <v>4725000</v>
      </c>
    </row>
    <row r="143" spans="1:12" x14ac:dyDescent="0.35">
      <c r="A143" t="s">
        <v>138</v>
      </c>
      <c r="B143" t="s">
        <v>458</v>
      </c>
      <c r="C143" t="s">
        <v>582</v>
      </c>
      <c r="D143" s="2" t="s">
        <v>584</v>
      </c>
      <c r="E143" s="1" t="s">
        <v>593</v>
      </c>
      <c r="F143" s="3">
        <v>-1</v>
      </c>
      <c r="G143" s="4">
        <v>150000</v>
      </c>
      <c r="H143" s="5">
        <v>162</v>
      </c>
      <c r="I143" s="6">
        <v>45666</v>
      </c>
      <c r="J143" s="2" t="s">
        <v>598</v>
      </c>
      <c r="K143" s="15">
        <f>PRODUCT(Table2[[#This Row],[Ticket Price]],Table2[[#This Row],[Passenger Count]])</f>
        <v>24300000</v>
      </c>
      <c r="L143" s="15">
        <f>Table2[[#This Row],[Revenue]]*(1-$O$2)</f>
        <v>21870000</v>
      </c>
    </row>
    <row r="144" spans="1:12" x14ac:dyDescent="0.35">
      <c r="A144" t="s">
        <v>139</v>
      </c>
      <c r="B144" t="s">
        <v>451</v>
      </c>
      <c r="C144" t="s">
        <v>587</v>
      </c>
      <c r="D144" s="2" t="s">
        <v>591</v>
      </c>
      <c r="E144" s="1" t="s">
        <v>593</v>
      </c>
      <c r="F144" s="3">
        <v>49</v>
      </c>
      <c r="G144" s="4">
        <v>140000</v>
      </c>
      <c r="H144" s="5">
        <v>121</v>
      </c>
      <c r="I144" s="6">
        <v>45669</v>
      </c>
      <c r="J144" s="2" t="s">
        <v>597</v>
      </c>
      <c r="K144" s="15">
        <f>PRODUCT(Table2[[#This Row],[Ticket Price]],Table2[[#This Row],[Passenger Count]])</f>
        <v>16940000</v>
      </c>
      <c r="L144" s="15">
        <f>Table2[[#This Row],[Revenue]]*(1-$O$2)</f>
        <v>15246000</v>
      </c>
    </row>
    <row r="145" spans="1:12" x14ac:dyDescent="0.35">
      <c r="A145" t="s">
        <v>140</v>
      </c>
      <c r="B145" t="s">
        <v>413</v>
      </c>
      <c r="C145" t="s">
        <v>582</v>
      </c>
      <c r="D145" s="2" t="s">
        <v>589</v>
      </c>
      <c r="E145" s="1" t="s">
        <v>593</v>
      </c>
      <c r="F145" s="3">
        <v>166</v>
      </c>
      <c r="G145" s="4">
        <v>50000</v>
      </c>
      <c r="H145" s="5">
        <v>121</v>
      </c>
      <c r="I145" s="6">
        <v>45678</v>
      </c>
      <c r="J145" s="2" t="s">
        <v>597</v>
      </c>
      <c r="K145" s="15">
        <f>PRODUCT(Table2[[#This Row],[Ticket Price]],Table2[[#This Row],[Passenger Count]])</f>
        <v>6050000</v>
      </c>
      <c r="L145" s="15">
        <f>Table2[[#This Row],[Revenue]]*(1-$O$2)</f>
        <v>5445000</v>
      </c>
    </row>
    <row r="146" spans="1:12" x14ac:dyDescent="0.35">
      <c r="A146" t="s">
        <v>141</v>
      </c>
      <c r="B146" t="s">
        <v>405</v>
      </c>
      <c r="C146" t="s">
        <v>587</v>
      </c>
      <c r="D146" s="2" t="s">
        <v>585</v>
      </c>
      <c r="E146" s="1" t="s">
        <v>594</v>
      </c>
      <c r="F146" s="3">
        <v>22</v>
      </c>
      <c r="G146" s="4">
        <v>145000</v>
      </c>
      <c r="H146" s="5">
        <v>127</v>
      </c>
      <c r="I146" s="6">
        <v>45736</v>
      </c>
      <c r="J146" s="2" t="s">
        <v>598</v>
      </c>
      <c r="K146" s="15">
        <f>PRODUCT(Table2[[#This Row],[Ticket Price]],Table2[[#This Row],[Passenger Count]])</f>
        <v>18415000</v>
      </c>
      <c r="L146" s="15">
        <f>Table2[[#This Row],[Revenue]]*(1-$O$2)</f>
        <v>16573500</v>
      </c>
    </row>
    <row r="147" spans="1:12" x14ac:dyDescent="0.35">
      <c r="A147" t="s">
        <v>142</v>
      </c>
      <c r="B147" t="s">
        <v>459</v>
      </c>
      <c r="C147" t="s">
        <v>586</v>
      </c>
      <c r="D147" s="2" t="s">
        <v>590</v>
      </c>
      <c r="E147" s="1" t="s">
        <v>593</v>
      </c>
      <c r="F147" s="3">
        <v>130</v>
      </c>
      <c r="G147" s="4">
        <v>55000</v>
      </c>
      <c r="H147" s="5">
        <v>104</v>
      </c>
      <c r="I147" s="6">
        <v>45759</v>
      </c>
      <c r="J147" s="2" t="s">
        <v>598</v>
      </c>
      <c r="K147" s="15">
        <f>PRODUCT(Table2[[#This Row],[Ticket Price]],Table2[[#This Row],[Passenger Count]])</f>
        <v>5720000</v>
      </c>
      <c r="L147" s="15">
        <f>Table2[[#This Row],[Revenue]]*(1-$O$2)</f>
        <v>5148000</v>
      </c>
    </row>
    <row r="148" spans="1:12" x14ac:dyDescent="0.35">
      <c r="A148" t="s">
        <v>143</v>
      </c>
      <c r="B148" t="s">
        <v>460</v>
      </c>
      <c r="C148" t="s">
        <v>587</v>
      </c>
      <c r="D148" s="2" t="s">
        <v>584</v>
      </c>
      <c r="E148" s="1" t="s">
        <v>596</v>
      </c>
      <c r="F148" s="3">
        <v>49</v>
      </c>
      <c r="G148" s="4">
        <v>150000</v>
      </c>
      <c r="H148" s="5">
        <v>144</v>
      </c>
      <c r="I148" s="6">
        <v>45837</v>
      </c>
      <c r="J148" s="2" t="s">
        <v>598</v>
      </c>
      <c r="K148" s="15">
        <f>PRODUCT(Table2[[#This Row],[Ticket Price]],Table2[[#This Row],[Passenger Count]])</f>
        <v>21600000</v>
      </c>
      <c r="L148" s="15">
        <f>Table2[[#This Row],[Revenue]]*(1-$O$2)</f>
        <v>19440000</v>
      </c>
    </row>
    <row r="149" spans="1:12" x14ac:dyDescent="0.35">
      <c r="A149" t="s">
        <v>144</v>
      </c>
      <c r="B149" t="s">
        <v>436</v>
      </c>
      <c r="C149" t="s">
        <v>584</v>
      </c>
      <c r="D149" s="2" t="s">
        <v>587</v>
      </c>
      <c r="E149" s="1" t="s">
        <v>596</v>
      </c>
      <c r="F149" s="3">
        <v>168</v>
      </c>
      <c r="G149" s="4">
        <v>120000</v>
      </c>
      <c r="H149" s="5">
        <v>75</v>
      </c>
      <c r="I149" s="6">
        <v>45792</v>
      </c>
      <c r="J149" s="2" t="s">
        <v>597</v>
      </c>
      <c r="K149" s="15">
        <f>PRODUCT(Table2[[#This Row],[Ticket Price]],Table2[[#This Row],[Passenger Count]])</f>
        <v>9000000</v>
      </c>
      <c r="L149" s="15">
        <f>Table2[[#This Row],[Revenue]]*(1-$O$2)</f>
        <v>8100000</v>
      </c>
    </row>
    <row r="150" spans="1:12" x14ac:dyDescent="0.35">
      <c r="A150" t="s">
        <v>145</v>
      </c>
      <c r="B150" t="s">
        <v>461</v>
      </c>
      <c r="C150" t="s">
        <v>584</v>
      </c>
      <c r="D150" s="2" t="s">
        <v>590</v>
      </c>
      <c r="E150" s="1" t="s">
        <v>593</v>
      </c>
      <c r="F150" s="3">
        <v>142</v>
      </c>
      <c r="G150" s="4">
        <v>70000</v>
      </c>
      <c r="H150" s="5">
        <v>127</v>
      </c>
      <c r="I150" s="6">
        <v>45668</v>
      </c>
      <c r="J150" s="2" t="s">
        <v>598</v>
      </c>
      <c r="K150" s="15">
        <f>PRODUCT(Table2[[#This Row],[Ticket Price]],Table2[[#This Row],[Passenger Count]])</f>
        <v>8890000</v>
      </c>
      <c r="L150" s="15">
        <f>Table2[[#This Row],[Revenue]]*(1-$O$2)</f>
        <v>8001000</v>
      </c>
    </row>
    <row r="151" spans="1:12" x14ac:dyDescent="0.35">
      <c r="A151" t="s">
        <v>146</v>
      </c>
      <c r="B151" t="s">
        <v>462</v>
      </c>
      <c r="C151" t="s">
        <v>583</v>
      </c>
      <c r="D151" s="2" t="s">
        <v>582</v>
      </c>
      <c r="E151" s="1" t="s">
        <v>592</v>
      </c>
      <c r="F151" s="3">
        <v>171</v>
      </c>
      <c r="G151" s="4">
        <v>95000</v>
      </c>
      <c r="H151" s="5">
        <v>173</v>
      </c>
      <c r="I151" s="6">
        <v>45758</v>
      </c>
      <c r="J151" s="2" t="s">
        <v>598</v>
      </c>
      <c r="K151" s="15">
        <f>PRODUCT(Table2[[#This Row],[Ticket Price]],Table2[[#This Row],[Passenger Count]])</f>
        <v>16435000</v>
      </c>
      <c r="L151" s="15">
        <f>Table2[[#This Row],[Revenue]]*(1-$O$2)</f>
        <v>14791500</v>
      </c>
    </row>
    <row r="152" spans="1:12" x14ac:dyDescent="0.35">
      <c r="A152" t="s">
        <v>147</v>
      </c>
      <c r="B152" t="s">
        <v>463</v>
      </c>
      <c r="C152" t="s">
        <v>586</v>
      </c>
      <c r="D152" s="2" t="s">
        <v>585</v>
      </c>
      <c r="E152" s="1" t="s">
        <v>593</v>
      </c>
      <c r="F152" s="3">
        <v>36</v>
      </c>
      <c r="G152" s="4">
        <v>100000</v>
      </c>
      <c r="H152" s="5">
        <v>107</v>
      </c>
      <c r="I152" s="6">
        <v>45838</v>
      </c>
      <c r="J152" s="2" t="s">
        <v>597</v>
      </c>
      <c r="K152" s="15">
        <f>PRODUCT(Table2[[#This Row],[Ticket Price]],Table2[[#This Row],[Passenger Count]])</f>
        <v>10700000</v>
      </c>
      <c r="L152" s="15">
        <f>Table2[[#This Row],[Revenue]]*(1-$O$2)</f>
        <v>9630000</v>
      </c>
    </row>
    <row r="153" spans="1:12" x14ac:dyDescent="0.35">
      <c r="A153" t="s">
        <v>148</v>
      </c>
      <c r="B153" t="s">
        <v>393</v>
      </c>
      <c r="C153" t="s">
        <v>587</v>
      </c>
      <c r="D153" s="2" t="s">
        <v>583</v>
      </c>
      <c r="E153" s="1" t="s">
        <v>592</v>
      </c>
      <c r="F153" s="3">
        <v>67</v>
      </c>
      <c r="G153" s="4">
        <v>70000</v>
      </c>
      <c r="H153" s="5">
        <v>154</v>
      </c>
      <c r="I153" s="6">
        <v>45818</v>
      </c>
      <c r="J153" s="2" t="s">
        <v>598</v>
      </c>
      <c r="K153" s="15">
        <f>PRODUCT(Table2[[#This Row],[Ticket Price]],Table2[[#This Row],[Passenger Count]])</f>
        <v>10780000</v>
      </c>
      <c r="L153" s="15">
        <f>Table2[[#This Row],[Revenue]]*(1-$O$2)</f>
        <v>9702000</v>
      </c>
    </row>
    <row r="154" spans="1:12" x14ac:dyDescent="0.35">
      <c r="A154" t="s">
        <v>149</v>
      </c>
      <c r="B154" t="s">
        <v>464</v>
      </c>
      <c r="C154" t="s">
        <v>586</v>
      </c>
      <c r="D154" s="2" t="s">
        <v>587</v>
      </c>
      <c r="E154" s="1" t="s">
        <v>595</v>
      </c>
      <c r="F154" s="3">
        <v>20</v>
      </c>
      <c r="G154" s="4">
        <v>100000</v>
      </c>
      <c r="H154" s="5">
        <v>104</v>
      </c>
      <c r="I154" s="6">
        <v>45680</v>
      </c>
      <c r="J154" s="2" t="s">
        <v>598</v>
      </c>
      <c r="K154" s="15">
        <f>PRODUCT(Table2[[#This Row],[Ticket Price]],Table2[[#This Row],[Passenger Count]])</f>
        <v>10400000</v>
      </c>
      <c r="L154" s="15">
        <f>Table2[[#This Row],[Revenue]]*(1-$O$2)</f>
        <v>9360000</v>
      </c>
    </row>
    <row r="155" spans="1:12" x14ac:dyDescent="0.35">
      <c r="A155" t="s">
        <v>150</v>
      </c>
      <c r="B155" t="s">
        <v>465</v>
      </c>
      <c r="C155" t="s">
        <v>586</v>
      </c>
      <c r="D155" s="2" t="s">
        <v>590</v>
      </c>
      <c r="E155" s="1" t="s">
        <v>596</v>
      </c>
      <c r="F155" s="3">
        <v>14</v>
      </c>
      <c r="G155" s="4">
        <v>55000</v>
      </c>
      <c r="H155" s="5">
        <v>90</v>
      </c>
      <c r="I155" s="6">
        <v>45699</v>
      </c>
      <c r="J155" s="2" t="s">
        <v>597</v>
      </c>
      <c r="K155" s="15">
        <f>PRODUCT(Table2[[#This Row],[Ticket Price]],Table2[[#This Row],[Passenger Count]])</f>
        <v>4950000</v>
      </c>
      <c r="L155" s="15">
        <f>Table2[[#This Row],[Revenue]]*(1-$O$2)</f>
        <v>4455000</v>
      </c>
    </row>
    <row r="156" spans="1:12" x14ac:dyDescent="0.35">
      <c r="A156" t="s">
        <v>151</v>
      </c>
      <c r="B156" t="s">
        <v>466</v>
      </c>
      <c r="C156" t="s">
        <v>588</v>
      </c>
      <c r="D156" s="2" t="s">
        <v>587</v>
      </c>
      <c r="E156" s="1" t="s">
        <v>595</v>
      </c>
      <c r="F156" s="3">
        <v>36</v>
      </c>
      <c r="G156" s="4">
        <v>115000</v>
      </c>
      <c r="H156" s="5">
        <v>89</v>
      </c>
      <c r="I156" s="6">
        <v>45769</v>
      </c>
      <c r="J156" s="2" t="s">
        <v>598</v>
      </c>
      <c r="K156" s="15">
        <f>PRODUCT(Table2[[#This Row],[Ticket Price]],Table2[[#This Row],[Passenger Count]])</f>
        <v>10235000</v>
      </c>
      <c r="L156" s="15">
        <f>Table2[[#This Row],[Revenue]]*(1-$O$2)</f>
        <v>9211500</v>
      </c>
    </row>
    <row r="157" spans="1:12" x14ac:dyDescent="0.35">
      <c r="A157" t="s">
        <v>152</v>
      </c>
      <c r="B157" t="s">
        <v>467</v>
      </c>
      <c r="C157" t="s">
        <v>584</v>
      </c>
      <c r="D157" s="2" t="s">
        <v>590</v>
      </c>
      <c r="E157" s="1" t="s">
        <v>595</v>
      </c>
      <c r="F157" s="3">
        <v>90</v>
      </c>
      <c r="G157" s="4">
        <v>110000</v>
      </c>
      <c r="H157" s="5">
        <v>169</v>
      </c>
      <c r="I157" s="6">
        <v>45701</v>
      </c>
      <c r="J157" s="2" t="s">
        <v>597</v>
      </c>
      <c r="K157" s="15">
        <f>PRODUCT(Table2[[#This Row],[Ticket Price]],Table2[[#This Row],[Passenger Count]])</f>
        <v>18590000</v>
      </c>
      <c r="L157" s="15">
        <f>Table2[[#This Row],[Revenue]]*(1-$O$2)</f>
        <v>16731000</v>
      </c>
    </row>
    <row r="158" spans="1:12" x14ac:dyDescent="0.35">
      <c r="A158" t="s">
        <v>153</v>
      </c>
      <c r="B158" t="s">
        <v>433</v>
      </c>
      <c r="C158" t="s">
        <v>585</v>
      </c>
      <c r="D158" s="2" t="s">
        <v>584</v>
      </c>
      <c r="E158" s="1" t="s">
        <v>596</v>
      </c>
      <c r="F158" s="3">
        <v>83</v>
      </c>
      <c r="G158" s="4">
        <v>85000</v>
      </c>
      <c r="H158" s="5">
        <v>62</v>
      </c>
      <c r="I158" s="6">
        <v>45762</v>
      </c>
      <c r="J158" s="2" t="s">
        <v>597</v>
      </c>
      <c r="K158" s="15">
        <f>PRODUCT(Table2[[#This Row],[Ticket Price]],Table2[[#This Row],[Passenger Count]])</f>
        <v>5270000</v>
      </c>
      <c r="L158" s="15">
        <f>Table2[[#This Row],[Revenue]]*(1-$O$2)</f>
        <v>4743000</v>
      </c>
    </row>
    <row r="159" spans="1:12" x14ac:dyDescent="0.35">
      <c r="A159" t="s">
        <v>154</v>
      </c>
      <c r="B159" t="s">
        <v>468</v>
      </c>
      <c r="C159" t="s">
        <v>585</v>
      </c>
      <c r="D159" s="2" t="s">
        <v>583</v>
      </c>
      <c r="E159" s="1" t="s">
        <v>594</v>
      </c>
      <c r="F159" s="3">
        <v>27</v>
      </c>
      <c r="G159" s="4">
        <v>145000</v>
      </c>
      <c r="H159" s="5">
        <v>112</v>
      </c>
      <c r="I159" s="6">
        <v>45786</v>
      </c>
      <c r="J159" s="2" t="s">
        <v>598</v>
      </c>
      <c r="K159" s="15">
        <f>PRODUCT(Table2[[#This Row],[Ticket Price]],Table2[[#This Row],[Passenger Count]])</f>
        <v>16240000</v>
      </c>
      <c r="L159" s="15">
        <f>Table2[[#This Row],[Revenue]]*(1-$O$2)</f>
        <v>14616000</v>
      </c>
    </row>
    <row r="160" spans="1:12" x14ac:dyDescent="0.35">
      <c r="A160" t="s">
        <v>155</v>
      </c>
      <c r="B160" t="s">
        <v>469</v>
      </c>
      <c r="C160" t="s">
        <v>583</v>
      </c>
      <c r="D160" s="2" t="s">
        <v>585</v>
      </c>
      <c r="E160" s="1" t="s">
        <v>594</v>
      </c>
      <c r="F160" s="3">
        <v>0</v>
      </c>
      <c r="G160" s="4">
        <v>145000</v>
      </c>
      <c r="H160" s="5">
        <v>130</v>
      </c>
      <c r="I160" s="6">
        <v>45771</v>
      </c>
      <c r="J160" s="2" t="s">
        <v>597</v>
      </c>
      <c r="K160" s="15">
        <f>PRODUCT(Table2[[#This Row],[Ticket Price]],Table2[[#This Row],[Passenger Count]])</f>
        <v>18850000</v>
      </c>
      <c r="L160" s="15">
        <f>Table2[[#This Row],[Revenue]]*(1-$O$2)</f>
        <v>16965000</v>
      </c>
    </row>
    <row r="161" spans="1:12" x14ac:dyDescent="0.35">
      <c r="A161" t="s">
        <v>156</v>
      </c>
      <c r="B161" t="s">
        <v>470</v>
      </c>
      <c r="C161" t="s">
        <v>581</v>
      </c>
      <c r="D161" s="2" t="s">
        <v>583</v>
      </c>
      <c r="E161" s="1" t="s">
        <v>596</v>
      </c>
      <c r="F161" s="3">
        <v>17</v>
      </c>
      <c r="G161" s="4">
        <v>145000</v>
      </c>
      <c r="H161" s="5">
        <v>60</v>
      </c>
      <c r="I161" s="6">
        <v>45713</v>
      </c>
      <c r="J161" s="2" t="s">
        <v>598</v>
      </c>
      <c r="K161" s="15">
        <f>PRODUCT(Table2[[#This Row],[Ticket Price]],Table2[[#This Row],[Passenger Count]])</f>
        <v>8700000</v>
      </c>
      <c r="L161" s="15">
        <f>Table2[[#This Row],[Revenue]]*(1-$O$2)</f>
        <v>7830000</v>
      </c>
    </row>
    <row r="162" spans="1:12" x14ac:dyDescent="0.35">
      <c r="A162" t="s">
        <v>157</v>
      </c>
      <c r="B162" t="s">
        <v>379</v>
      </c>
      <c r="C162" t="s">
        <v>587</v>
      </c>
      <c r="D162" s="2" t="s">
        <v>591</v>
      </c>
      <c r="E162" s="1" t="s">
        <v>594</v>
      </c>
      <c r="F162" s="3">
        <v>56</v>
      </c>
      <c r="G162" s="4">
        <v>120000</v>
      </c>
      <c r="H162" s="5">
        <v>113</v>
      </c>
      <c r="I162" s="6">
        <v>45734</v>
      </c>
      <c r="J162" s="2" t="s">
        <v>597</v>
      </c>
      <c r="K162" s="15">
        <f>PRODUCT(Table2[[#This Row],[Ticket Price]],Table2[[#This Row],[Passenger Count]])</f>
        <v>13560000</v>
      </c>
      <c r="L162" s="15">
        <f>Table2[[#This Row],[Revenue]]*(1-$O$2)</f>
        <v>12204000</v>
      </c>
    </row>
    <row r="163" spans="1:12" x14ac:dyDescent="0.35">
      <c r="A163" t="s">
        <v>158</v>
      </c>
      <c r="B163" t="s">
        <v>471</v>
      </c>
      <c r="C163" t="s">
        <v>584</v>
      </c>
      <c r="D163" s="2" t="s">
        <v>582</v>
      </c>
      <c r="E163" s="1" t="s">
        <v>595</v>
      </c>
      <c r="F163" s="3">
        <v>51</v>
      </c>
      <c r="G163" s="4">
        <v>35000</v>
      </c>
      <c r="H163" s="5">
        <v>166</v>
      </c>
      <c r="I163" s="6">
        <v>45783</v>
      </c>
      <c r="J163" s="2" t="s">
        <v>598</v>
      </c>
      <c r="K163" s="15">
        <f>PRODUCT(Table2[[#This Row],[Ticket Price]],Table2[[#This Row],[Passenger Count]])</f>
        <v>5810000</v>
      </c>
      <c r="L163" s="15">
        <f>Table2[[#This Row],[Revenue]]*(1-$O$2)</f>
        <v>5229000</v>
      </c>
    </row>
    <row r="164" spans="1:12" x14ac:dyDescent="0.35">
      <c r="A164" t="s">
        <v>159</v>
      </c>
      <c r="B164" t="s">
        <v>412</v>
      </c>
      <c r="C164" t="s">
        <v>588</v>
      </c>
      <c r="D164" s="2" t="s">
        <v>584</v>
      </c>
      <c r="E164" s="1" t="s">
        <v>596</v>
      </c>
      <c r="F164" s="3">
        <v>148</v>
      </c>
      <c r="G164" s="4">
        <v>135000</v>
      </c>
      <c r="H164" s="5">
        <v>68</v>
      </c>
      <c r="I164" s="6">
        <v>45794</v>
      </c>
      <c r="J164" s="2" t="s">
        <v>597</v>
      </c>
      <c r="K164" s="15">
        <f>PRODUCT(Table2[[#This Row],[Ticket Price]],Table2[[#This Row],[Passenger Count]])</f>
        <v>9180000</v>
      </c>
      <c r="L164" s="15">
        <f>Table2[[#This Row],[Revenue]]*(1-$O$2)</f>
        <v>8262000</v>
      </c>
    </row>
    <row r="165" spans="1:12" x14ac:dyDescent="0.35">
      <c r="A165" t="s">
        <v>160</v>
      </c>
      <c r="B165" t="s">
        <v>472</v>
      </c>
      <c r="C165" t="s">
        <v>587</v>
      </c>
      <c r="D165" s="2" t="s">
        <v>591</v>
      </c>
      <c r="E165" s="1" t="s">
        <v>592</v>
      </c>
      <c r="F165" s="3">
        <v>18</v>
      </c>
      <c r="G165" s="4">
        <v>85000</v>
      </c>
      <c r="H165" s="5">
        <v>144</v>
      </c>
      <c r="I165" s="6">
        <v>45810</v>
      </c>
      <c r="J165" s="2" t="s">
        <v>597</v>
      </c>
      <c r="K165" s="15">
        <f>PRODUCT(Table2[[#This Row],[Ticket Price]],Table2[[#This Row],[Passenger Count]])</f>
        <v>12240000</v>
      </c>
      <c r="L165" s="15">
        <f>Table2[[#This Row],[Revenue]]*(1-$O$2)</f>
        <v>11016000</v>
      </c>
    </row>
    <row r="166" spans="1:12" x14ac:dyDescent="0.35">
      <c r="A166" t="s">
        <v>161</v>
      </c>
      <c r="B166" t="s">
        <v>425</v>
      </c>
      <c r="C166" t="s">
        <v>581</v>
      </c>
      <c r="D166" s="2" t="s">
        <v>589</v>
      </c>
      <c r="E166" s="1" t="s">
        <v>596</v>
      </c>
      <c r="F166" s="3">
        <v>135</v>
      </c>
      <c r="G166" s="4">
        <v>35000</v>
      </c>
      <c r="H166" s="5">
        <v>75</v>
      </c>
      <c r="I166" s="6">
        <v>45809</v>
      </c>
      <c r="J166" s="2" t="s">
        <v>597</v>
      </c>
      <c r="K166" s="15">
        <f>PRODUCT(Table2[[#This Row],[Ticket Price]],Table2[[#This Row],[Passenger Count]])</f>
        <v>2625000</v>
      </c>
      <c r="L166" s="15">
        <f>Table2[[#This Row],[Revenue]]*(1-$O$2)</f>
        <v>2362500</v>
      </c>
    </row>
    <row r="167" spans="1:12" x14ac:dyDescent="0.35">
      <c r="A167" t="s">
        <v>162</v>
      </c>
      <c r="B167" t="s">
        <v>473</v>
      </c>
      <c r="C167" t="s">
        <v>583</v>
      </c>
      <c r="D167" s="2" t="s">
        <v>590</v>
      </c>
      <c r="E167" s="1" t="s">
        <v>595</v>
      </c>
      <c r="F167" s="3">
        <v>137</v>
      </c>
      <c r="G167" s="4">
        <v>35000</v>
      </c>
      <c r="H167" s="5">
        <v>77</v>
      </c>
      <c r="I167" s="6">
        <v>45757</v>
      </c>
      <c r="J167" s="2" t="s">
        <v>598</v>
      </c>
      <c r="K167" s="15">
        <f>PRODUCT(Table2[[#This Row],[Ticket Price]],Table2[[#This Row],[Passenger Count]])</f>
        <v>2695000</v>
      </c>
      <c r="L167" s="15">
        <f>Table2[[#This Row],[Revenue]]*(1-$O$2)</f>
        <v>2425500</v>
      </c>
    </row>
    <row r="168" spans="1:12" x14ac:dyDescent="0.35">
      <c r="A168" t="s">
        <v>163</v>
      </c>
      <c r="B168" t="s">
        <v>474</v>
      </c>
      <c r="C168" t="s">
        <v>583</v>
      </c>
      <c r="D168" s="2" t="s">
        <v>587</v>
      </c>
      <c r="E168" s="1" t="s">
        <v>593</v>
      </c>
      <c r="F168" s="3">
        <v>92</v>
      </c>
      <c r="G168" s="4">
        <v>100000</v>
      </c>
      <c r="H168" s="5">
        <v>66</v>
      </c>
      <c r="I168" s="6">
        <v>45706</v>
      </c>
      <c r="J168" s="2" t="s">
        <v>597</v>
      </c>
      <c r="K168" s="15">
        <f>PRODUCT(Table2[[#This Row],[Ticket Price]],Table2[[#This Row],[Passenger Count]])</f>
        <v>6600000</v>
      </c>
      <c r="L168" s="15">
        <f>Table2[[#This Row],[Revenue]]*(1-$O$2)</f>
        <v>5940000</v>
      </c>
    </row>
    <row r="169" spans="1:12" x14ac:dyDescent="0.35">
      <c r="A169" t="s">
        <v>164</v>
      </c>
      <c r="B169" t="s">
        <v>475</v>
      </c>
      <c r="C169" t="s">
        <v>583</v>
      </c>
      <c r="D169" s="2" t="s">
        <v>589</v>
      </c>
      <c r="E169" s="1" t="s">
        <v>592</v>
      </c>
      <c r="F169" s="3">
        <v>21</v>
      </c>
      <c r="G169" s="4">
        <v>140000</v>
      </c>
      <c r="H169" s="5">
        <v>118</v>
      </c>
      <c r="I169" s="6">
        <v>45675</v>
      </c>
      <c r="J169" s="2" t="s">
        <v>598</v>
      </c>
      <c r="K169" s="15">
        <f>PRODUCT(Table2[[#This Row],[Ticket Price]],Table2[[#This Row],[Passenger Count]])</f>
        <v>16520000</v>
      </c>
      <c r="L169" s="15">
        <f>Table2[[#This Row],[Revenue]]*(1-$O$2)</f>
        <v>14868000</v>
      </c>
    </row>
    <row r="170" spans="1:12" x14ac:dyDescent="0.35">
      <c r="A170" t="s">
        <v>165</v>
      </c>
      <c r="B170" t="s">
        <v>476</v>
      </c>
      <c r="C170" t="s">
        <v>588</v>
      </c>
      <c r="D170" s="2" t="s">
        <v>585</v>
      </c>
      <c r="E170" s="1" t="s">
        <v>596</v>
      </c>
      <c r="F170" s="3">
        <v>24</v>
      </c>
      <c r="G170" s="4">
        <v>80000</v>
      </c>
      <c r="H170" s="5">
        <v>149</v>
      </c>
      <c r="I170" s="6">
        <v>45756</v>
      </c>
      <c r="J170" s="2" t="s">
        <v>597</v>
      </c>
      <c r="K170" s="15">
        <f>PRODUCT(Table2[[#This Row],[Ticket Price]],Table2[[#This Row],[Passenger Count]])</f>
        <v>11920000</v>
      </c>
      <c r="L170" s="15">
        <f>Table2[[#This Row],[Revenue]]*(1-$O$2)</f>
        <v>10728000</v>
      </c>
    </row>
    <row r="171" spans="1:12" x14ac:dyDescent="0.35">
      <c r="A171" t="s">
        <v>166</v>
      </c>
      <c r="B171" t="s">
        <v>477</v>
      </c>
      <c r="C171" t="s">
        <v>585</v>
      </c>
      <c r="D171" s="2" t="s">
        <v>589</v>
      </c>
      <c r="E171" s="1" t="s">
        <v>592</v>
      </c>
      <c r="F171" s="3">
        <v>52</v>
      </c>
      <c r="G171" s="4">
        <v>40000</v>
      </c>
      <c r="H171" s="5">
        <v>148</v>
      </c>
      <c r="I171" s="6">
        <v>45749</v>
      </c>
      <c r="J171" s="2" t="s">
        <v>598</v>
      </c>
      <c r="K171" s="15">
        <f>PRODUCT(Table2[[#This Row],[Ticket Price]],Table2[[#This Row],[Passenger Count]])</f>
        <v>5920000</v>
      </c>
      <c r="L171" s="15">
        <f>Table2[[#This Row],[Revenue]]*(1-$O$2)</f>
        <v>5328000</v>
      </c>
    </row>
    <row r="172" spans="1:12" x14ac:dyDescent="0.35">
      <c r="A172" t="s">
        <v>167</v>
      </c>
      <c r="B172" t="s">
        <v>478</v>
      </c>
      <c r="C172" t="s">
        <v>587</v>
      </c>
      <c r="D172" s="2" t="s">
        <v>589</v>
      </c>
      <c r="E172" s="1" t="s">
        <v>593</v>
      </c>
      <c r="F172" s="3">
        <v>97</v>
      </c>
      <c r="G172" s="4">
        <v>140000</v>
      </c>
      <c r="H172" s="5">
        <v>76</v>
      </c>
      <c r="I172" s="6">
        <v>45733</v>
      </c>
      <c r="J172" s="2" t="s">
        <v>598</v>
      </c>
      <c r="K172" s="15">
        <f>PRODUCT(Table2[[#This Row],[Ticket Price]],Table2[[#This Row],[Passenger Count]])</f>
        <v>10640000</v>
      </c>
      <c r="L172" s="15">
        <f>Table2[[#This Row],[Revenue]]*(1-$O$2)</f>
        <v>9576000</v>
      </c>
    </row>
    <row r="173" spans="1:12" x14ac:dyDescent="0.35">
      <c r="A173" t="s">
        <v>168</v>
      </c>
      <c r="B173" t="s">
        <v>479</v>
      </c>
      <c r="C173" t="s">
        <v>587</v>
      </c>
      <c r="D173" s="2" t="s">
        <v>585</v>
      </c>
      <c r="E173" s="1" t="s">
        <v>593</v>
      </c>
      <c r="F173" s="3">
        <v>140</v>
      </c>
      <c r="G173" s="4">
        <v>90000</v>
      </c>
      <c r="H173" s="5">
        <v>146</v>
      </c>
      <c r="I173" s="6">
        <v>45664</v>
      </c>
      <c r="J173" s="2" t="s">
        <v>597</v>
      </c>
      <c r="K173" s="15">
        <f>PRODUCT(Table2[[#This Row],[Ticket Price]],Table2[[#This Row],[Passenger Count]])</f>
        <v>13140000</v>
      </c>
      <c r="L173" s="15">
        <f>Table2[[#This Row],[Revenue]]*(1-$O$2)</f>
        <v>11826000</v>
      </c>
    </row>
    <row r="174" spans="1:12" x14ac:dyDescent="0.35">
      <c r="A174" t="s">
        <v>169</v>
      </c>
      <c r="B174" t="s">
        <v>480</v>
      </c>
      <c r="C174" t="s">
        <v>587</v>
      </c>
      <c r="D174" s="2" t="s">
        <v>589</v>
      </c>
      <c r="E174" s="1" t="s">
        <v>593</v>
      </c>
      <c r="F174" s="3">
        <v>27</v>
      </c>
      <c r="G174" s="4">
        <v>30000</v>
      </c>
      <c r="H174" s="5">
        <v>144</v>
      </c>
      <c r="I174" s="6">
        <v>45756</v>
      </c>
      <c r="J174" s="2" t="s">
        <v>597</v>
      </c>
      <c r="K174" s="15">
        <f>PRODUCT(Table2[[#This Row],[Ticket Price]],Table2[[#This Row],[Passenger Count]])</f>
        <v>4320000</v>
      </c>
      <c r="L174" s="15">
        <f>Table2[[#This Row],[Revenue]]*(1-$O$2)</f>
        <v>3888000</v>
      </c>
    </row>
    <row r="175" spans="1:12" x14ac:dyDescent="0.35">
      <c r="A175" t="s">
        <v>170</v>
      </c>
      <c r="B175" t="s">
        <v>481</v>
      </c>
      <c r="C175" t="s">
        <v>583</v>
      </c>
      <c r="D175" s="2" t="s">
        <v>589</v>
      </c>
      <c r="E175" s="1" t="s">
        <v>596</v>
      </c>
      <c r="F175" s="3">
        <v>-3</v>
      </c>
      <c r="G175" s="4">
        <v>135000</v>
      </c>
      <c r="H175" s="5">
        <v>78</v>
      </c>
      <c r="I175" s="6">
        <v>45787</v>
      </c>
      <c r="J175" s="2" t="s">
        <v>598</v>
      </c>
      <c r="K175" s="15">
        <f>PRODUCT(Table2[[#This Row],[Ticket Price]],Table2[[#This Row],[Passenger Count]])</f>
        <v>10530000</v>
      </c>
      <c r="L175" s="15">
        <f>Table2[[#This Row],[Revenue]]*(1-$O$2)</f>
        <v>9477000</v>
      </c>
    </row>
    <row r="176" spans="1:12" x14ac:dyDescent="0.35">
      <c r="A176" t="s">
        <v>171</v>
      </c>
      <c r="B176" t="s">
        <v>482</v>
      </c>
      <c r="C176" t="s">
        <v>586</v>
      </c>
      <c r="D176" s="2" t="s">
        <v>587</v>
      </c>
      <c r="E176" s="1" t="s">
        <v>593</v>
      </c>
      <c r="F176" s="3">
        <v>108</v>
      </c>
      <c r="G176" s="4">
        <v>135000</v>
      </c>
      <c r="H176" s="5">
        <v>79</v>
      </c>
      <c r="I176" s="6">
        <v>45687</v>
      </c>
      <c r="J176" s="2" t="s">
        <v>598</v>
      </c>
      <c r="K176" s="15">
        <f>PRODUCT(Table2[[#This Row],[Ticket Price]],Table2[[#This Row],[Passenger Count]])</f>
        <v>10665000</v>
      </c>
      <c r="L176" s="15">
        <f>Table2[[#This Row],[Revenue]]*(1-$O$2)</f>
        <v>9598500</v>
      </c>
    </row>
    <row r="177" spans="1:12" x14ac:dyDescent="0.35">
      <c r="A177" t="s">
        <v>172</v>
      </c>
      <c r="B177" t="s">
        <v>380</v>
      </c>
      <c r="C177" t="s">
        <v>585</v>
      </c>
      <c r="D177" s="2" t="s">
        <v>587</v>
      </c>
      <c r="E177" s="1" t="s">
        <v>595</v>
      </c>
      <c r="F177" s="3">
        <v>103</v>
      </c>
      <c r="G177" s="4">
        <v>50000</v>
      </c>
      <c r="H177" s="5">
        <v>98</v>
      </c>
      <c r="I177" s="6">
        <v>45829</v>
      </c>
      <c r="J177" s="2" t="s">
        <v>597</v>
      </c>
      <c r="K177" s="15">
        <f>PRODUCT(Table2[[#This Row],[Ticket Price]],Table2[[#This Row],[Passenger Count]])</f>
        <v>4900000</v>
      </c>
      <c r="L177" s="15">
        <f>Table2[[#This Row],[Revenue]]*(1-$O$2)</f>
        <v>4410000</v>
      </c>
    </row>
    <row r="178" spans="1:12" x14ac:dyDescent="0.35">
      <c r="A178" t="s">
        <v>173</v>
      </c>
      <c r="B178" t="s">
        <v>483</v>
      </c>
      <c r="C178" t="s">
        <v>584</v>
      </c>
      <c r="D178" s="2" t="s">
        <v>590</v>
      </c>
      <c r="E178" s="1" t="s">
        <v>596</v>
      </c>
      <c r="F178" s="3">
        <v>172</v>
      </c>
      <c r="G178" s="4">
        <v>40000</v>
      </c>
      <c r="H178" s="5">
        <v>63</v>
      </c>
      <c r="I178" s="6">
        <v>45723</v>
      </c>
      <c r="J178" s="2" t="s">
        <v>597</v>
      </c>
      <c r="K178" s="15">
        <f>PRODUCT(Table2[[#This Row],[Ticket Price]],Table2[[#This Row],[Passenger Count]])</f>
        <v>2520000</v>
      </c>
      <c r="L178" s="15">
        <f>Table2[[#This Row],[Revenue]]*(1-$O$2)</f>
        <v>2268000</v>
      </c>
    </row>
    <row r="179" spans="1:12" x14ac:dyDescent="0.35">
      <c r="A179" t="s">
        <v>174</v>
      </c>
      <c r="B179" t="s">
        <v>484</v>
      </c>
      <c r="C179" t="s">
        <v>583</v>
      </c>
      <c r="D179" s="2" t="s">
        <v>587</v>
      </c>
      <c r="E179" s="1" t="s">
        <v>595</v>
      </c>
      <c r="F179" s="3">
        <v>79</v>
      </c>
      <c r="G179" s="4">
        <v>50000</v>
      </c>
      <c r="H179" s="5">
        <v>116</v>
      </c>
      <c r="I179" s="6">
        <v>45674</v>
      </c>
      <c r="J179" s="2" t="s">
        <v>597</v>
      </c>
      <c r="K179" s="15">
        <f>PRODUCT(Table2[[#This Row],[Ticket Price]],Table2[[#This Row],[Passenger Count]])</f>
        <v>5800000</v>
      </c>
      <c r="L179" s="15">
        <f>Table2[[#This Row],[Revenue]]*(1-$O$2)</f>
        <v>5220000</v>
      </c>
    </row>
    <row r="180" spans="1:12" x14ac:dyDescent="0.35">
      <c r="A180" t="s">
        <v>175</v>
      </c>
      <c r="B180" t="s">
        <v>485</v>
      </c>
      <c r="C180" t="s">
        <v>585</v>
      </c>
      <c r="D180" s="2" t="s">
        <v>591</v>
      </c>
      <c r="E180" s="1" t="s">
        <v>596</v>
      </c>
      <c r="F180" s="3">
        <v>85</v>
      </c>
      <c r="G180" s="4">
        <v>40000</v>
      </c>
      <c r="H180" s="5">
        <v>102</v>
      </c>
      <c r="I180" s="6">
        <v>45834</v>
      </c>
      <c r="J180" s="2" t="s">
        <v>598</v>
      </c>
      <c r="K180" s="15">
        <f>PRODUCT(Table2[[#This Row],[Ticket Price]],Table2[[#This Row],[Passenger Count]])</f>
        <v>4080000</v>
      </c>
      <c r="L180" s="15">
        <f>Table2[[#This Row],[Revenue]]*(1-$O$2)</f>
        <v>3672000</v>
      </c>
    </row>
    <row r="181" spans="1:12" x14ac:dyDescent="0.35">
      <c r="A181" t="s">
        <v>176</v>
      </c>
      <c r="B181" t="s">
        <v>396</v>
      </c>
      <c r="C181" t="s">
        <v>584</v>
      </c>
      <c r="D181" s="2" t="s">
        <v>589</v>
      </c>
      <c r="E181" s="1" t="s">
        <v>595</v>
      </c>
      <c r="F181" s="3">
        <v>71</v>
      </c>
      <c r="G181" s="4">
        <v>65000</v>
      </c>
      <c r="H181" s="5">
        <v>120</v>
      </c>
      <c r="I181" s="6">
        <v>45660</v>
      </c>
      <c r="J181" s="2" t="s">
        <v>597</v>
      </c>
      <c r="K181" s="15">
        <f>PRODUCT(Table2[[#This Row],[Ticket Price]],Table2[[#This Row],[Passenger Count]])</f>
        <v>7800000</v>
      </c>
      <c r="L181" s="15">
        <f>Table2[[#This Row],[Revenue]]*(1-$O$2)</f>
        <v>7020000</v>
      </c>
    </row>
    <row r="182" spans="1:12" x14ac:dyDescent="0.35">
      <c r="A182" t="s">
        <v>177</v>
      </c>
      <c r="B182" t="s">
        <v>486</v>
      </c>
      <c r="C182" t="s">
        <v>583</v>
      </c>
      <c r="D182" s="2" t="s">
        <v>584</v>
      </c>
      <c r="E182" s="1" t="s">
        <v>592</v>
      </c>
      <c r="F182" s="3">
        <v>164</v>
      </c>
      <c r="G182" s="4">
        <v>80000</v>
      </c>
      <c r="H182" s="5">
        <v>115</v>
      </c>
      <c r="I182" s="6">
        <v>45715</v>
      </c>
      <c r="J182" s="2" t="s">
        <v>598</v>
      </c>
      <c r="K182" s="15">
        <f>PRODUCT(Table2[[#This Row],[Ticket Price]],Table2[[#This Row],[Passenger Count]])</f>
        <v>9200000</v>
      </c>
      <c r="L182" s="15">
        <f>Table2[[#This Row],[Revenue]]*(1-$O$2)</f>
        <v>8280000</v>
      </c>
    </row>
    <row r="183" spans="1:12" x14ac:dyDescent="0.35">
      <c r="A183" t="s">
        <v>178</v>
      </c>
      <c r="B183" t="s">
        <v>487</v>
      </c>
      <c r="C183" t="s">
        <v>582</v>
      </c>
      <c r="D183" s="2" t="s">
        <v>585</v>
      </c>
      <c r="E183" s="1" t="s">
        <v>595</v>
      </c>
      <c r="F183" s="3">
        <v>172</v>
      </c>
      <c r="G183" s="4">
        <v>35000</v>
      </c>
      <c r="H183" s="5">
        <v>141</v>
      </c>
      <c r="I183" s="6">
        <v>45816</v>
      </c>
      <c r="J183" s="2" t="s">
        <v>597</v>
      </c>
      <c r="K183" s="15">
        <f>PRODUCT(Table2[[#This Row],[Ticket Price]],Table2[[#This Row],[Passenger Count]])</f>
        <v>4935000</v>
      </c>
      <c r="L183" s="15">
        <f>Table2[[#This Row],[Revenue]]*(1-$O$2)</f>
        <v>4441500</v>
      </c>
    </row>
    <row r="184" spans="1:12" x14ac:dyDescent="0.35">
      <c r="A184" t="s">
        <v>179</v>
      </c>
      <c r="B184" t="s">
        <v>367</v>
      </c>
      <c r="C184" t="s">
        <v>584</v>
      </c>
      <c r="D184" s="2" t="s">
        <v>591</v>
      </c>
      <c r="E184" s="1" t="s">
        <v>593</v>
      </c>
      <c r="F184" s="3">
        <v>74</v>
      </c>
      <c r="G184" s="4">
        <v>140000</v>
      </c>
      <c r="H184" s="5">
        <v>97</v>
      </c>
      <c r="I184" s="6">
        <v>45705</v>
      </c>
      <c r="J184" s="2" t="s">
        <v>598</v>
      </c>
      <c r="K184" s="15">
        <f>PRODUCT(Table2[[#This Row],[Ticket Price]],Table2[[#This Row],[Passenger Count]])</f>
        <v>13580000</v>
      </c>
      <c r="L184" s="15">
        <f>Table2[[#This Row],[Revenue]]*(1-$O$2)</f>
        <v>12222000</v>
      </c>
    </row>
    <row r="185" spans="1:12" x14ac:dyDescent="0.35">
      <c r="A185" t="s">
        <v>180</v>
      </c>
      <c r="B185" t="s">
        <v>488</v>
      </c>
      <c r="C185" t="s">
        <v>587</v>
      </c>
      <c r="D185" s="2" t="s">
        <v>589</v>
      </c>
      <c r="E185" s="1" t="s">
        <v>594</v>
      </c>
      <c r="F185" s="3">
        <v>159</v>
      </c>
      <c r="G185" s="4">
        <v>75000</v>
      </c>
      <c r="H185" s="5">
        <v>138</v>
      </c>
      <c r="I185" s="6">
        <v>45725</v>
      </c>
      <c r="J185" s="2" t="s">
        <v>598</v>
      </c>
      <c r="K185" s="15">
        <f>PRODUCT(Table2[[#This Row],[Ticket Price]],Table2[[#This Row],[Passenger Count]])</f>
        <v>10350000</v>
      </c>
      <c r="L185" s="15">
        <f>Table2[[#This Row],[Revenue]]*(1-$O$2)</f>
        <v>9315000</v>
      </c>
    </row>
    <row r="186" spans="1:12" x14ac:dyDescent="0.35">
      <c r="A186" t="s">
        <v>181</v>
      </c>
      <c r="B186" t="s">
        <v>489</v>
      </c>
      <c r="C186" t="s">
        <v>582</v>
      </c>
      <c r="D186" s="2" t="s">
        <v>583</v>
      </c>
      <c r="E186" s="1" t="s">
        <v>592</v>
      </c>
      <c r="F186" s="3">
        <v>179</v>
      </c>
      <c r="G186" s="4">
        <v>30000</v>
      </c>
      <c r="H186" s="5">
        <v>77</v>
      </c>
      <c r="I186" s="6">
        <v>45664</v>
      </c>
      <c r="J186" s="2" t="s">
        <v>597</v>
      </c>
      <c r="K186" s="15">
        <f>PRODUCT(Table2[[#This Row],[Ticket Price]],Table2[[#This Row],[Passenger Count]])</f>
        <v>2310000</v>
      </c>
      <c r="L186" s="15">
        <f>Table2[[#This Row],[Revenue]]*(1-$O$2)</f>
        <v>2079000</v>
      </c>
    </row>
    <row r="187" spans="1:12" x14ac:dyDescent="0.35">
      <c r="A187" t="s">
        <v>182</v>
      </c>
      <c r="B187" t="s">
        <v>431</v>
      </c>
      <c r="C187" t="s">
        <v>582</v>
      </c>
      <c r="D187" s="2" t="s">
        <v>583</v>
      </c>
      <c r="E187" s="1" t="s">
        <v>592</v>
      </c>
      <c r="F187" s="3">
        <v>125</v>
      </c>
      <c r="G187" s="4">
        <v>135000</v>
      </c>
      <c r="H187" s="5">
        <v>128</v>
      </c>
      <c r="I187" s="6">
        <v>45693</v>
      </c>
      <c r="J187" s="2" t="s">
        <v>597</v>
      </c>
      <c r="K187" s="15">
        <f>PRODUCT(Table2[[#This Row],[Ticket Price]],Table2[[#This Row],[Passenger Count]])</f>
        <v>17280000</v>
      </c>
      <c r="L187" s="15">
        <f>Table2[[#This Row],[Revenue]]*(1-$O$2)</f>
        <v>15552000</v>
      </c>
    </row>
    <row r="188" spans="1:12" x14ac:dyDescent="0.35">
      <c r="A188" t="s">
        <v>183</v>
      </c>
      <c r="B188" t="s">
        <v>450</v>
      </c>
      <c r="C188" t="s">
        <v>585</v>
      </c>
      <c r="D188" s="2" t="s">
        <v>587</v>
      </c>
      <c r="E188" s="1" t="s">
        <v>592</v>
      </c>
      <c r="F188" s="3">
        <v>80</v>
      </c>
      <c r="G188" s="4">
        <v>145000</v>
      </c>
      <c r="H188" s="5">
        <v>63</v>
      </c>
      <c r="I188" s="6">
        <v>45696</v>
      </c>
      <c r="J188" s="2" t="s">
        <v>597</v>
      </c>
      <c r="K188" s="15">
        <f>PRODUCT(Table2[[#This Row],[Ticket Price]],Table2[[#This Row],[Passenger Count]])</f>
        <v>9135000</v>
      </c>
      <c r="L188" s="15">
        <f>Table2[[#This Row],[Revenue]]*(1-$O$2)</f>
        <v>8221500</v>
      </c>
    </row>
    <row r="189" spans="1:12" x14ac:dyDescent="0.35">
      <c r="A189" t="s">
        <v>184</v>
      </c>
      <c r="B189" t="s">
        <v>490</v>
      </c>
      <c r="C189" t="s">
        <v>581</v>
      </c>
      <c r="D189" s="2" t="s">
        <v>584</v>
      </c>
      <c r="E189" s="1" t="s">
        <v>594</v>
      </c>
      <c r="F189" s="3">
        <v>172</v>
      </c>
      <c r="G189" s="4">
        <v>100000</v>
      </c>
      <c r="H189" s="5">
        <v>133</v>
      </c>
      <c r="I189" s="6">
        <v>45733</v>
      </c>
      <c r="J189" s="2" t="s">
        <v>597</v>
      </c>
      <c r="K189" s="15">
        <f>PRODUCT(Table2[[#This Row],[Ticket Price]],Table2[[#This Row],[Passenger Count]])</f>
        <v>13300000</v>
      </c>
      <c r="L189" s="15">
        <f>Table2[[#This Row],[Revenue]]*(1-$O$2)</f>
        <v>11970000</v>
      </c>
    </row>
    <row r="190" spans="1:12" x14ac:dyDescent="0.35">
      <c r="A190" t="s">
        <v>185</v>
      </c>
      <c r="B190" t="s">
        <v>491</v>
      </c>
      <c r="C190" t="s">
        <v>588</v>
      </c>
      <c r="D190" s="2" t="s">
        <v>590</v>
      </c>
      <c r="E190" s="1" t="s">
        <v>596</v>
      </c>
      <c r="F190" s="3">
        <v>119</v>
      </c>
      <c r="G190" s="4">
        <v>45000</v>
      </c>
      <c r="H190" s="5">
        <v>69</v>
      </c>
      <c r="I190" s="6">
        <v>45669</v>
      </c>
      <c r="J190" s="2" t="s">
        <v>598</v>
      </c>
      <c r="K190" s="15">
        <f>PRODUCT(Table2[[#This Row],[Ticket Price]],Table2[[#This Row],[Passenger Count]])</f>
        <v>3105000</v>
      </c>
      <c r="L190" s="15">
        <f>Table2[[#This Row],[Revenue]]*(1-$O$2)</f>
        <v>2794500</v>
      </c>
    </row>
    <row r="191" spans="1:12" x14ac:dyDescent="0.35">
      <c r="A191" t="s">
        <v>186</v>
      </c>
      <c r="B191" t="s">
        <v>492</v>
      </c>
      <c r="C191" t="s">
        <v>588</v>
      </c>
      <c r="D191" s="2" t="s">
        <v>590</v>
      </c>
      <c r="E191" s="1" t="s">
        <v>596</v>
      </c>
      <c r="F191" s="3">
        <v>93</v>
      </c>
      <c r="G191" s="4">
        <v>70000</v>
      </c>
      <c r="H191" s="5">
        <v>123</v>
      </c>
      <c r="I191" s="6">
        <v>45666</v>
      </c>
      <c r="J191" s="2" t="s">
        <v>598</v>
      </c>
      <c r="K191" s="15">
        <f>PRODUCT(Table2[[#This Row],[Ticket Price]],Table2[[#This Row],[Passenger Count]])</f>
        <v>8610000</v>
      </c>
      <c r="L191" s="15">
        <f>Table2[[#This Row],[Revenue]]*(1-$O$2)</f>
        <v>7749000</v>
      </c>
    </row>
    <row r="192" spans="1:12" x14ac:dyDescent="0.35">
      <c r="A192" t="s">
        <v>187</v>
      </c>
      <c r="B192" t="s">
        <v>472</v>
      </c>
      <c r="C192" t="s">
        <v>586</v>
      </c>
      <c r="D192" s="2" t="s">
        <v>591</v>
      </c>
      <c r="E192" s="1" t="s">
        <v>592</v>
      </c>
      <c r="F192" s="3">
        <v>169</v>
      </c>
      <c r="G192" s="4">
        <v>40000</v>
      </c>
      <c r="H192" s="5">
        <v>111</v>
      </c>
      <c r="I192" s="6">
        <v>45746</v>
      </c>
      <c r="J192" s="2" t="s">
        <v>597</v>
      </c>
      <c r="K192" s="15">
        <f>PRODUCT(Table2[[#This Row],[Ticket Price]],Table2[[#This Row],[Passenger Count]])</f>
        <v>4440000</v>
      </c>
      <c r="L192" s="15">
        <f>Table2[[#This Row],[Revenue]]*(1-$O$2)</f>
        <v>3996000</v>
      </c>
    </row>
    <row r="193" spans="1:12" x14ac:dyDescent="0.35">
      <c r="A193" t="s">
        <v>188</v>
      </c>
      <c r="B193" t="s">
        <v>493</v>
      </c>
      <c r="C193" t="s">
        <v>586</v>
      </c>
      <c r="D193" s="2" t="s">
        <v>591</v>
      </c>
      <c r="E193" s="1" t="s">
        <v>593</v>
      </c>
      <c r="F193" s="3">
        <v>29</v>
      </c>
      <c r="G193" s="4">
        <v>50000</v>
      </c>
      <c r="H193" s="5">
        <v>178</v>
      </c>
      <c r="I193" s="6">
        <v>45668</v>
      </c>
      <c r="J193" s="2" t="s">
        <v>597</v>
      </c>
      <c r="K193" s="15">
        <f>PRODUCT(Table2[[#This Row],[Ticket Price]],Table2[[#This Row],[Passenger Count]])</f>
        <v>8900000</v>
      </c>
      <c r="L193" s="15">
        <f>Table2[[#This Row],[Revenue]]*(1-$O$2)</f>
        <v>8010000</v>
      </c>
    </row>
    <row r="194" spans="1:12" x14ac:dyDescent="0.35">
      <c r="A194" t="s">
        <v>189</v>
      </c>
      <c r="B194" t="s">
        <v>494</v>
      </c>
      <c r="C194" t="s">
        <v>587</v>
      </c>
      <c r="D194" s="2" t="s">
        <v>590</v>
      </c>
      <c r="E194" s="1" t="s">
        <v>595</v>
      </c>
      <c r="F194" s="3">
        <v>143</v>
      </c>
      <c r="G194" s="4">
        <v>130000</v>
      </c>
      <c r="H194" s="5">
        <v>75</v>
      </c>
      <c r="I194" s="6">
        <v>45759</v>
      </c>
      <c r="J194" s="2" t="s">
        <v>597</v>
      </c>
      <c r="K194" s="15">
        <f>PRODUCT(Table2[[#This Row],[Ticket Price]],Table2[[#This Row],[Passenger Count]])</f>
        <v>9750000</v>
      </c>
      <c r="L194" s="15">
        <f>Table2[[#This Row],[Revenue]]*(1-$O$2)</f>
        <v>8775000</v>
      </c>
    </row>
    <row r="195" spans="1:12" x14ac:dyDescent="0.35">
      <c r="A195" t="s">
        <v>190</v>
      </c>
      <c r="B195" t="s">
        <v>495</v>
      </c>
      <c r="C195" t="s">
        <v>582</v>
      </c>
      <c r="D195" s="2" t="s">
        <v>584</v>
      </c>
      <c r="E195" s="1" t="s">
        <v>593</v>
      </c>
      <c r="F195" s="3">
        <v>87</v>
      </c>
      <c r="G195" s="4">
        <v>40000</v>
      </c>
      <c r="H195" s="5">
        <v>162</v>
      </c>
      <c r="I195" s="6">
        <v>45785</v>
      </c>
      <c r="J195" s="2" t="s">
        <v>598</v>
      </c>
      <c r="K195" s="15">
        <f>PRODUCT(Table2[[#This Row],[Ticket Price]],Table2[[#This Row],[Passenger Count]])</f>
        <v>6480000</v>
      </c>
      <c r="L195" s="15">
        <f>Table2[[#This Row],[Revenue]]*(1-$O$2)</f>
        <v>5832000</v>
      </c>
    </row>
    <row r="196" spans="1:12" x14ac:dyDescent="0.35">
      <c r="A196" t="s">
        <v>191</v>
      </c>
      <c r="B196" t="s">
        <v>383</v>
      </c>
      <c r="C196" t="s">
        <v>581</v>
      </c>
      <c r="D196" s="2" t="s">
        <v>582</v>
      </c>
      <c r="E196" s="1" t="s">
        <v>594</v>
      </c>
      <c r="F196" s="3">
        <v>166</v>
      </c>
      <c r="G196" s="4">
        <v>50000</v>
      </c>
      <c r="H196" s="5">
        <v>116</v>
      </c>
      <c r="I196" s="6">
        <v>45712</v>
      </c>
      <c r="J196" s="2" t="s">
        <v>598</v>
      </c>
      <c r="K196" s="15">
        <f>PRODUCT(Table2[[#This Row],[Ticket Price]],Table2[[#This Row],[Passenger Count]])</f>
        <v>5800000</v>
      </c>
      <c r="L196" s="15">
        <f>Table2[[#This Row],[Revenue]]*(1-$O$2)</f>
        <v>5220000</v>
      </c>
    </row>
    <row r="197" spans="1:12" x14ac:dyDescent="0.35">
      <c r="A197" t="s">
        <v>192</v>
      </c>
      <c r="B197" t="s">
        <v>496</v>
      </c>
      <c r="C197" t="s">
        <v>581</v>
      </c>
      <c r="D197" s="2" t="s">
        <v>587</v>
      </c>
      <c r="E197" s="1" t="s">
        <v>592</v>
      </c>
      <c r="F197" s="3">
        <v>165</v>
      </c>
      <c r="G197" s="4">
        <v>140000</v>
      </c>
      <c r="H197" s="5">
        <v>96</v>
      </c>
      <c r="I197" s="6">
        <v>45834</v>
      </c>
      <c r="J197" s="2" t="s">
        <v>598</v>
      </c>
      <c r="K197" s="15">
        <f>PRODUCT(Table2[[#This Row],[Ticket Price]],Table2[[#This Row],[Passenger Count]])</f>
        <v>13440000</v>
      </c>
      <c r="L197" s="15">
        <f>Table2[[#This Row],[Revenue]]*(1-$O$2)</f>
        <v>12096000</v>
      </c>
    </row>
    <row r="198" spans="1:12" x14ac:dyDescent="0.35">
      <c r="A198" t="s">
        <v>193</v>
      </c>
      <c r="B198" t="s">
        <v>457</v>
      </c>
      <c r="C198" t="s">
        <v>585</v>
      </c>
      <c r="D198" s="2" t="s">
        <v>582</v>
      </c>
      <c r="E198" s="1" t="s">
        <v>594</v>
      </c>
      <c r="F198" s="3">
        <v>147</v>
      </c>
      <c r="G198" s="4">
        <v>35000</v>
      </c>
      <c r="H198" s="5">
        <v>105</v>
      </c>
      <c r="I198" s="6">
        <v>45705</v>
      </c>
      <c r="J198" s="2" t="s">
        <v>597</v>
      </c>
      <c r="K198" s="15">
        <f>PRODUCT(Table2[[#This Row],[Ticket Price]],Table2[[#This Row],[Passenger Count]])</f>
        <v>3675000</v>
      </c>
      <c r="L198" s="15">
        <f>Table2[[#This Row],[Revenue]]*(1-$O$2)</f>
        <v>3307500</v>
      </c>
    </row>
    <row r="199" spans="1:12" x14ac:dyDescent="0.35">
      <c r="A199" t="s">
        <v>194</v>
      </c>
      <c r="B199" t="s">
        <v>497</v>
      </c>
      <c r="C199" t="s">
        <v>581</v>
      </c>
      <c r="D199" s="2" t="s">
        <v>589</v>
      </c>
      <c r="E199" s="1" t="s">
        <v>592</v>
      </c>
      <c r="F199" s="3">
        <v>16</v>
      </c>
      <c r="G199" s="4">
        <v>110000</v>
      </c>
      <c r="H199" s="5">
        <v>169</v>
      </c>
      <c r="I199" s="6">
        <v>45799</v>
      </c>
      <c r="J199" s="2" t="s">
        <v>597</v>
      </c>
      <c r="K199" s="15">
        <f>PRODUCT(Table2[[#This Row],[Ticket Price]],Table2[[#This Row],[Passenger Count]])</f>
        <v>18590000</v>
      </c>
      <c r="L199" s="15">
        <f>Table2[[#This Row],[Revenue]]*(1-$O$2)</f>
        <v>16731000</v>
      </c>
    </row>
    <row r="200" spans="1:12" x14ac:dyDescent="0.35">
      <c r="A200" t="s">
        <v>195</v>
      </c>
      <c r="B200" t="s">
        <v>429</v>
      </c>
      <c r="C200" t="s">
        <v>581</v>
      </c>
      <c r="D200" s="2" t="s">
        <v>585</v>
      </c>
      <c r="E200" s="1" t="s">
        <v>596</v>
      </c>
      <c r="F200" s="3">
        <v>129</v>
      </c>
      <c r="G200" s="4">
        <v>135000</v>
      </c>
      <c r="H200" s="5">
        <v>60</v>
      </c>
      <c r="I200" s="6">
        <v>45703</v>
      </c>
      <c r="J200" s="2" t="s">
        <v>598</v>
      </c>
      <c r="K200" s="15">
        <f>PRODUCT(Table2[[#This Row],[Ticket Price]],Table2[[#This Row],[Passenger Count]])</f>
        <v>8100000</v>
      </c>
      <c r="L200" s="15">
        <f>Table2[[#This Row],[Revenue]]*(1-$O$2)</f>
        <v>7290000</v>
      </c>
    </row>
    <row r="201" spans="1:12" x14ac:dyDescent="0.35">
      <c r="A201" t="s">
        <v>196</v>
      </c>
      <c r="B201" t="s">
        <v>498</v>
      </c>
      <c r="C201" t="s">
        <v>588</v>
      </c>
      <c r="D201" s="2" t="s">
        <v>591</v>
      </c>
      <c r="E201" s="1" t="s">
        <v>593</v>
      </c>
      <c r="F201" s="3">
        <v>130</v>
      </c>
      <c r="G201" s="4">
        <v>65000</v>
      </c>
      <c r="H201" s="5">
        <v>115</v>
      </c>
      <c r="I201" s="6">
        <v>45779</v>
      </c>
      <c r="J201" s="2" t="s">
        <v>597</v>
      </c>
      <c r="K201" s="15">
        <f>PRODUCT(Table2[[#This Row],[Ticket Price]],Table2[[#This Row],[Passenger Count]])</f>
        <v>7475000</v>
      </c>
      <c r="L201" s="15">
        <f>Table2[[#This Row],[Revenue]]*(1-$O$2)</f>
        <v>6727500</v>
      </c>
    </row>
    <row r="202" spans="1:12" x14ac:dyDescent="0.35">
      <c r="A202" t="s">
        <v>197</v>
      </c>
      <c r="B202" t="s">
        <v>441</v>
      </c>
      <c r="C202" t="s">
        <v>588</v>
      </c>
      <c r="D202" s="2" t="s">
        <v>583</v>
      </c>
      <c r="E202" s="1" t="s">
        <v>595</v>
      </c>
      <c r="F202" s="3">
        <v>3</v>
      </c>
      <c r="G202" s="4">
        <v>60000</v>
      </c>
      <c r="H202" s="5">
        <v>160</v>
      </c>
      <c r="I202" s="6">
        <v>45681</v>
      </c>
      <c r="J202" s="2" t="s">
        <v>598</v>
      </c>
      <c r="K202" s="15">
        <f>PRODUCT(Table2[[#This Row],[Ticket Price]],Table2[[#This Row],[Passenger Count]])</f>
        <v>9600000</v>
      </c>
      <c r="L202" s="15">
        <f>Table2[[#This Row],[Revenue]]*(1-$O$2)</f>
        <v>8640000</v>
      </c>
    </row>
    <row r="203" spans="1:12" x14ac:dyDescent="0.35">
      <c r="A203" t="s">
        <v>198</v>
      </c>
      <c r="B203" t="s">
        <v>499</v>
      </c>
      <c r="C203" t="s">
        <v>586</v>
      </c>
      <c r="D203" s="2" t="s">
        <v>590</v>
      </c>
      <c r="E203" s="1" t="s">
        <v>593</v>
      </c>
      <c r="F203" s="3">
        <v>145</v>
      </c>
      <c r="G203" s="4">
        <v>25000</v>
      </c>
      <c r="H203" s="5">
        <v>152</v>
      </c>
      <c r="I203" s="6">
        <v>45736</v>
      </c>
      <c r="J203" s="2" t="s">
        <v>598</v>
      </c>
      <c r="K203" s="15">
        <f>PRODUCT(Table2[[#This Row],[Ticket Price]],Table2[[#This Row],[Passenger Count]])</f>
        <v>3800000</v>
      </c>
      <c r="L203" s="15">
        <f>Table2[[#This Row],[Revenue]]*(1-$O$2)</f>
        <v>3420000</v>
      </c>
    </row>
    <row r="204" spans="1:12" x14ac:dyDescent="0.35">
      <c r="A204" t="s">
        <v>199</v>
      </c>
      <c r="B204" t="s">
        <v>500</v>
      </c>
      <c r="C204" t="s">
        <v>585</v>
      </c>
      <c r="D204" s="2" t="s">
        <v>590</v>
      </c>
      <c r="E204" s="1" t="s">
        <v>594</v>
      </c>
      <c r="F204" s="3">
        <v>140</v>
      </c>
      <c r="G204" s="4">
        <v>120000</v>
      </c>
      <c r="H204" s="5">
        <v>82</v>
      </c>
      <c r="I204" s="6">
        <v>45822</v>
      </c>
      <c r="J204" s="2" t="s">
        <v>598</v>
      </c>
      <c r="K204" s="15">
        <f>PRODUCT(Table2[[#This Row],[Ticket Price]],Table2[[#This Row],[Passenger Count]])</f>
        <v>9840000</v>
      </c>
      <c r="L204" s="15">
        <f>Table2[[#This Row],[Revenue]]*(1-$O$2)</f>
        <v>8856000</v>
      </c>
    </row>
    <row r="205" spans="1:12" x14ac:dyDescent="0.35">
      <c r="A205" t="s">
        <v>200</v>
      </c>
      <c r="B205" t="s">
        <v>501</v>
      </c>
      <c r="C205" t="s">
        <v>586</v>
      </c>
      <c r="D205" s="2" t="s">
        <v>590</v>
      </c>
      <c r="E205" s="1" t="s">
        <v>595</v>
      </c>
      <c r="F205" s="3">
        <v>94</v>
      </c>
      <c r="G205" s="4">
        <v>85000</v>
      </c>
      <c r="H205" s="5">
        <v>116</v>
      </c>
      <c r="I205" s="6">
        <v>45801</v>
      </c>
      <c r="J205" s="2" t="s">
        <v>598</v>
      </c>
      <c r="K205" s="15">
        <f>PRODUCT(Table2[[#This Row],[Ticket Price]],Table2[[#This Row],[Passenger Count]])</f>
        <v>9860000</v>
      </c>
      <c r="L205" s="15">
        <f>Table2[[#This Row],[Revenue]]*(1-$O$2)</f>
        <v>8874000</v>
      </c>
    </row>
    <row r="206" spans="1:12" x14ac:dyDescent="0.35">
      <c r="A206" t="s">
        <v>201</v>
      </c>
      <c r="B206" t="s">
        <v>502</v>
      </c>
      <c r="C206" t="s">
        <v>587</v>
      </c>
      <c r="D206" s="2" t="s">
        <v>591</v>
      </c>
      <c r="E206" s="1" t="s">
        <v>594</v>
      </c>
      <c r="F206" s="3">
        <v>111</v>
      </c>
      <c r="G206" s="4">
        <v>105000</v>
      </c>
      <c r="H206" s="5">
        <v>175</v>
      </c>
      <c r="I206" s="6">
        <v>45824</v>
      </c>
      <c r="J206" s="2" t="s">
        <v>598</v>
      </c>
      <c r="K206" s="15">
        <f>PRODUCT(Table2[[#This Row],[Ticket Price]],Table2[[#This Row],[Passenger Count]])</f>
        <v>18375000</v>
      </c>
      <c r="L206" s="15">
        <f>Table2[[#This Row],[Revenue]]*(1-$O$2)</f>
        <v>16537500</v>
      </c>
    </row>
    <row r="207" spans="1:12" x14ac:dyDescent="0.35">
      <c r="A207" t="s">
        <v>202</v>
      </c>
      <c r="B207" t="s">
        <v>385</v>
      </c>
      <c r="C207" t="s">
        <v>588</v>
      </c>
      <c r="D207" s="2" t="s">
        <v>590</v>
      </c>
      <c r="E207" s="1" t="s">
        <v>596</v>
      </c>
      <c r="F207" s="3">
        <v>29</v>
      </c>
      <c r="G207" s="4">
        <v>30000</v>
      </c>
      <c r="H207" s="5">
        <v>126</v>
      </c>
      <c r="I207" s="6">
        <v>45826</v>
      </c>
      <c r="J207" s="2" t="s">
        <v>597</v>
      </c>
      <c r="K207" s="15">
        <f>PRODUCT(Table2[[#This Row],[Ticket Price]],Table2[[#This Row],[Passenger Count]])</f>
        <v>3780000</v>
      </c>
      <c r="L207" s="15">
        <f>Table2[[#This Row],[Revenue]]*(1-$O$2)</f>
        <v>3402000</v>
      </c>
    </row>
    <row r="208" spans="1:12" x14ac:dyDescent="0.35">
      <c r="A208" t="s">
        <v>203</v>
      </c>
      <c r="B208" t="s">
        <v>457</v>
      </c>
      <c r="C208" t="s">
        <v>582</v>
      </c>
      <c r="D208" s="2" t="s">
        <v>590</v>
      </c>
      <c r="E208" s="1" t="s">
        <v>593</v>
      </c>
      <c r="F208" s="3">
        <v>74</v>
      </c>
      <c r="G208" s="4">
        <v>85000</v>
      </c>
      <c r="H208" s="5">
        <v>78</v>
      </c>
      <c r="I208" s="6">
        <v>45688</v>
      </c>
      <c r="J208" s="2" t="s">
        <v>597</v>
      </c>
      <c r="K208" s="15">
        <f>PRODUCT(Table2[[#This Row],[Ticket Price]],Table2[[#This Row],[Passenger Count]])</f>
        <v>6630000</v>
      </c>
      <c r="L208" s="15">
        <f>Table2[[#This Row],[Revenue]]*(1-$O$2)</f>
        <v>5967000</v>
      </c>
    </row>
    <row r="209" spans="1:12" x14ac:dyDescent="0.35">
      <c r="A209" t="s">
        <v>204</v>
      </c>
      <c r="B209" t="s">
        <v>503</v>
      </c>
      <c r="C209" t="s">
        <v>582</v>
      </c>
      <c r="D209" s="2" t="s">
        <v>589</v>
      </c>
      <c r="E209" s="1" t="s">
        <v>594</v>
      </c>
      <c r="F209" s="3">
        <v>159</v>
      </c>
      <c r="G209" s="4">
        <v>145000</v>
      </c>
      <c r="H209" s="5">
        <v>125</v>
      </c>
      <c r="I209" s="6">
        <v>45675</v>
      </c>
      <c r="J209" s="2" t="s">
        <v>598</v>
      </c>
      <c r="K209" s="15">
        <f>PRODUCT(Table2[[#This Row],[Ticket Price]],Table2[[#This Row],[Passenger Count]])</f>
        <v>18125000</v>
      </c>
      <c r="L209" s="15">
        <f>Table2[[#This Row],[Revenue]]*(1-$O$2)</f>
        <v>16312500</v>
      </c>
    </row>
    <row r="210" spans="1:12" x14ac:dyDescent="0.35">
      <c r="A210" t="s">
        <v>205</v>
      </c>
      <c r="B210" t="s">
        <v>347</v>
      </c>
      <c r="C210" t="s">
        <v>587</v>
      </c>
      <c r="D210" s="2" t="s">
        <v>590</v>
      </c>
      <c r="E210" s="1" t="s">
        <v>594</v>
      </c>
      <c r="F210" s="3">
        <v>178</v>
      </c>
      <c r="G210" s="4">
        <v>50000</v>
      </c>
      <c r="H210" s="5">
        <v>154</v>
      </c>
      <c r="I210" s="6">
        <v>45742</v>
      </c>
      <c r="J210" s="2" t="s">
        <v>598</v>
      </c>
      <c r="K210" s="15">
        <f>PRODUCT(Table2[[#This Row],[Ticket Price]],Table2[[#This Row],[Passenger Count]])</f>
        <v>7700000</v>
      </c>
      <c r="L210" s="15">
        <f>Table2[[#This Row],[Revenue]]*(1-$O$2)</f>
        <v>6930000</v>
      </c>
    </row>
    <row r="211" spans="1:12" x14ac:dyDescent="0.35">
      <c r="A211" t="s">
        <v>206</v>
      </c>
      <c r="B211" t="s">
        <v>504</v>
      </c>
      <c r="C211" t="s">
        <v>588</v>
      </c>
      <c r="D211" s="2" t="s">
        <v>582</v>
      </c>
      <c r="E211" s="1" t="s">
        <v>593</v>
      </c>
      <c r="F211" s="3">
        <v>108</v>
      </c>
      <c r="G211" s="4">
        <v>125000</v>
      </c>
      <c r="H211" s="5">
        <v>170</v>
      </c>
      <c r="I211" s="6">
        <v>45773</v>
      </c>
      <c r="J211" s="2" t="s">
        <v>598</v>
      </c>
      <c r="K211" s="15">
        <f>PRODUCT(Table2[[#This Row],[Ticket Price]],Table2[[#This Row],[Passenger Count]])</f>
        <v>21250000</v>
      </c>
      <c r="L211" s="15">
        <f>Table2[[#This Row],[Revenue]]*(1-$O$2)</f>
        <v>19125000</v>
      </c>
    </row>
    <row r="212" spans="1:12" x14ac:dyDescent="0.35">
      <c r="A212" t="s">
        <v>207</v>
      </c>
      <c r="B212" t="s">
        <v>447</v>
      </c>
      <c r="C212" t="s">
        <v>584</v>
      </c>
      <c r="D212" s="2" t="s">
        <v>587</v>
      </c>
      <c r="E212" s="1" t="s">
        <v>594</v>
      </c>
      <c r="F212" s="3">
        <v>42</v>
      </c>
      <c r="G212" s="4">
        <v>115000</v>
      </c>
      <c r="H212" s="5">
        <v>125</v>
      </c>
      <c r="I212" s="6">
        <v>45834</v>
      </c>
      <c r="J212" s="2" t="s">
        <v>598</v>
      </c>
      <c r="K212" s="15">
        <f>PRODUCT(Table2[[#This Row],[Ticket Price]],Table2[[#This Row],[Passenger Count]])</f>
        <v>14375000</v>
      </c>
      <c r="L212" s="15">
        <f>Table2[[#This Row],[Revenue]]*(1-$O$2)</f>
        <v>12937500</v>
      </c>
    </row>
    <row r="213" spans="1:12" x14ac:dyDescent="0.35">
      <c r="A213" t="s">
        <v>208</v>
      </c>
      <c r="B213" t="s">
        <v>505</v>
      </c>
      <c r="C213" t="s">
        <v>581</v>
      </c>
      <c r="D213" s="2" t="s">
        <v>585</v>
      </c>
      <c r="E213" s="1" t="s">
        <v>595</v>
      </c>
      <c r="F213" s="3">
        <v>26</v>
      </c>
      <c r="G213" s="4">
        <v>50000</v>
      </c>
      <c r="H213" s="5">
        <v>73</v>
      </c>
      <c r="I213" s="6">
        <v>45673</v>
      </c>
      <c r="J213" s="2" t="s">
        <v>597</v>
      </c>
      <c r="K213" s="15">
        <f>PRODUCT(Table2[[#This Row],[Ticket Price]],Table2[[#This Row],[Passenger Count]])</f>
        <v>3650000</v>
      </c>
      <c r="L213" s="15">
        <f>Table2[[#This Row],[Revenue]]*(1-$O$2)</f>
        <v>3285000</v>
      </c>
    </row>
    <row r="214" spans="1:12" x14ac:dyDescent="0.35">
      <c r="A214" t="s">
        <v>209</v>
      </c>
      <c r="B214" t="s">
        <v>506</v>
      </c>
      <c r="C214" t="s">
        <v>581</v>
      </c>
      <c r="D214" s="2" t="s">
        <v>591</v>
      </c>
      <c r="E214" s="1" t="s">
        <v>593</v>
      </c>
      <c r="F214" s="3">
        <v>82</v>
      </c>
      <c r="G214" s="4">
        <v>55000</v>
      </c>
      <c r="H214" s="5">
        <v>171</v>
      </c>
      <c r="I214" s="6">
        <v>45820</v>
      </c>
      <c r="J214" s="2" t="s">
        <v>597</v>
      </c>
      <c r="K214" s="15">
        <f>PRODUCT(Table2[[#This Row],[Ticket Price]],Table2[[#This Row],[Passenger Count]])</f>
        <v>9405000</v>
      </c>
      <c r="L214" s="15">
        <f>Table2[[#This Row],[Revenue]]*(1-$O$2)</f>
        <v>8464500</v>
      </c>
    </row>
    <row r="215" spans="1:12" x14ac:dyDescent="0.35">
      <c r="A215" t="s">
        <v>210</v>
      </c>
      <c r="B215" t="s">
        <v>507</v>
      </c>
      <c r="C215" t="s">
        <v>583</v>
      </c>
      <c r="D215" s="2" t="s">
        <v>584</v>
      </c>
      <c r="E215" s="1" t="s">
        <v>593</v>
      </c>
      <c r="F215" s="3">
        <v>149</v>
      </c>
      <c r="G215" s="4">
        <v>140000</v>
      </c>
      <c r="H215" s="5">
        <v>148</v>
      </c>
      <c r="I215" s="6">
        <v>45801</v>
      </c>
      <c r="J215" s="2" t="s">
        <v>598</v>
      </c>
      <c r="K215" s="15">
        <f>PRODUCT(Table2[[#This Row],[Ticket Price]],Table2[[#This Row],[Passenger Count]])</f>
        <v>20720000</v>
      </c>
      <c r="L215" s="15">
        <f>Table2[[#This Row],[Revenue]]*(1-$O$2)</f>
        <v>18648000</v>
      </c>
    </row>
    <row r="216" spans="1:12" x14ac:dyDescent="0.35">
      <c r="A216" t="s">
        <v>211</v>
      </c>
      <c r="B216" t="s">
        <v>508</v>
      </c>
      <c r="C216" t="s">
        <v>586</v>
      </c>
      <c r="D216" s="2" t="s">
        <v>582</v>
      </c>
      <c r="E216" s="1" t="s">
        <v>596</v>
      </c>
      <c r="F216" s="3">
        <v>8</v>
      </c>
      <c r="G216" s="4">
        <v>65000</v>
      </c>
      <c r="H216" s="5">
        <v>90</v>
      </c>
      <c r="I216" s="6">
        <v>45736</v>
      </c>
      <c r="J216" s="2" t="s">
        <v>597</v>
      </c>
      <c r="K216" s="15">
        <f>PRODUCT(Table2[[#This Row],[Ticket Price]],Table2[[#This Row],[Passenger Count]])</f>
        <v>5850000</v>
      </c>
      <c r="L216" s="15">
        <f>Table2[[#This Row],[Revenue]]*(1-$O$2)</f>
        <v>5265000</v>
      </c>
    </row>
    <row r="217" spans="1:12" x14ac:dyDescent="0.35">
      <c r="A217" t="s">
        <v>212</v>
      </c>
      <c r="B217" t="s">
        <v>509</v>
      </c>
      <c r="C217" t="s">
        <v>587</v>
      </c>
      <c r="D217" s="2" t="s">
        <v>590</v>
      </c>
      <c r="E217" s="1" t="s">
        <v>593</v>
      </c>
      <c r="F217" s="3">
        <v>19</v>
      </c>
      <c r="G217" s="4">
        <v>105000</v>
      </c>
      <c r="H217" s="5">
        <v>118</v>
      </c>
      <c r="I217" s="6">
        <v>45731</v>
      </c>
      <c r="J217" s="2" t="s">
        <v>597</v>
      </c>
      <c r="K217" s="15">
        <f>PRODUCT(Table2[[#This Row],[Ticket Price]],Table2[[#This Row],[Passenger Count]])</f>
        <v>12390000</v>
      </c>
      <c r="L217" s="15">
        <f>Table2[[#This Row],[Revenue]]*(1-$O$2)</f>
        <v>11151000</v>
      </c>
    </row>
    <row r="218" spans="1:12" x14ac:dyDescent="0.35">
      <c r="A218" t="s">
        <v>213</v>
      </c>
      <c r="B218" t="s">
        <v>510</v>
      </c>
      <c r="C218" t="s">
        <v>583</v>
      </c>
      <c r="D218" s="2" t="s">
        <v>587</v>
      </c>
      <c r="E218" s="1" t="s">
        <v>596</v>
      </c>
      <c r="F218" s="3">
        <v>57</v>
      </c>
      <c r="G218" s="4">
        <v>35000</v>
      </c>
      <c r="H218" s="5">
        <v>134</v>
      </c>
      <c r="I218" s="6">
        <v>45767</v>
      </c>
      <c r="J218" s="2" t="s">
        <v>597</v>
      </c>
      <c r="K218" s="15">
        <f>PRODUCT(Table2[[#This Row],[Ticket Price]],Table2[[#This Row],[Passenger Count]])</f>
        <v>4690000</v>
      </c>
      <c r="L218" s="15">
        <f>Table2[[#This Row],[Revenue]]*(1-$O$2)</f>
        <v>4221000</v>
      </c>
    </row>
    <row r="219" spans="1:12" x14ac:dyDescent="0.35">
      <c r="A219" t="s">
        <v>214</v>
      </c>
      <c r="B219" t="s">
        <v>352</v>
      </c>
      <c r="C219" t="s">
        <v>582</v>
      </c>
      <c r="D219" s="2" t="s">
        <v>585</v>
      </c>
      <c r="E219" s="1" t="s">
        <v>596</v>
      </c>
      <c r="F219" s="3">
        <v>12</v>
      </c>
      <c r="G219" s="4">
        <v>120000</v>
      </c>
      <c r="H219" s="5">
        <v>80</v>
      </c>
      <c r="I219" s="6">
        <v>45743</v>
      </c>
      <c r="J219" s="2" t="s">
        <v>597</v>
      </c>
      <c r="K219" s="15">
        <f>PRODUCT(Table2[[#This Row],[Ticket Price]],Table2[[#This Row],[Passenger Count]])</f>
        <v>9600000</v>
      </c>
      <c r="L219" s="15">
        <f>Table2[[#This Row],[Revenue]]*(1-$O$2)</f>
        <v>8640000</v>
      </c>
    </row>
    <row r="220" spans="1:12" x14ac:dyDescent="0.35">
      <c r="A220" t="s">
        <v>215</v>
      </c>
      <c r="B220" t="s">
        <v>511</v>
      </c>
      <c r="C220" t="s">
        <v>588</v>
      </c>
      <c r="D220" s="2" t="s">
        <v>589</v>
      </c>
      <c r="E220" s="1" t="s">
        <v>594</v>
      </c>
      <c r="F220" s="3">
        <v>86</v>
      </c>
      <c r="G220" s="4">
        <v>95000</v>
      </c>
      <c r="H220" s="5">
        <v>170</v>
      </c>
      <c r="I220" s="6">
        <v>45747</v>
      </c>
      <c r="J220" s="2" t="s">
        <v>597</v>
      </c>
      <c r="K220" s="15">
        <f>PRODUCT(Table2[[#This Row],[Ticket Price]],Table2[[#This Row],[Passenger Count]])</f>
        <v>16150000</v>
      </c>
      <c r="L220" s="15">
        <f>Table2[[#This Row],[Revenue]]*(1-$O$2)</f>
        <v>14535000</v>
      </c>
    </row>
    <row r="221" spans="1:12" x14ac:dyDescent="0.35">
      <c r="A221" t="s">
        <v>216</v>
      </c>
      <c r="B221" t="s">
        <v>512</v>
      </c>
      <c r="C221" t="s">
        <v>582</v>
      </c>
      <c r="D221" s="2" t="s">
        <v>585</v>
      </c>
      <c r="E221" s="1" t="s">
        <v>596</v>
      </c>
      <c r="F221" s="3">
        <v>126</v>
      </c>
      <c r="G221" s="4">
        <v>105000</v>
      </c>
      <c r="H221" s="5">
        <v>140</v>
      </c>
      <c r="I221" s="6">
        <v>45798</v>
      </c>
      <c r="J221" s="2" t="s">
        <v>597</v>
      </c>
      <c r="K221" s="15">
        <f>PRODUCT(Table2[[#This Row],[Ticket Price]],Table2[[#This Row],[Passenger Count]])</f>
        <v>14700000</v>
      </c>
      <c r="L221" s="15">
        <f>Table2[[#This Row],[Revenue]]*(1-$O$2)</f>
        <v>13230000</v>
      </c>
    </row>
    <row r="222" spans="1:12" x14ac:dyDescent="0.35">
      <c r="A222" t="s">
        <v>217</v>
      </c>
      <c r="B222" t="s">
        <v>513</v>
      </c>
      <c r="C222" t="s">
        <v>587</v>
      </c>
      <c r="D222" s="2" t="s">
        <v>591</v>
      </c>
      <c r="E222" s="1" t="s">
        <v>592</v>
      </c>
      <c r="F222" s="3">
        <v>180</v>
      </c>
      <c r="G222" s="4">
        <v>110000</v>
      </c>
      <c r="H222" s="5">
        <v>153</v>
      </c>
      <c r="I222" s="6">
        <v>45740</v>
      </c>
      <c r="J222" s="2" t="s">
        <v>597</v>
      </c>
      <c r="K222" s="15">
        <f>PRODUCT(Table2[[#This Row],[Ticket Price]],Table2[[#This Row],[Passenger Count]])</f>
        <v>16830000</v>
      </c>
      <c r="L222" s="15">
        <f>Table2[[#This Row],[Revenue]]*(1-$O$2)</f>
        <v>15147000</v>
      </c>
    </row>
    <row r="223" spans="1:12" x14ac:dyDescent="0.35">
      <c r="A223" t="s">
        <v>218</v>
      </c>
      <c r="B223" t="s">
        <v>510</v>
      </c>
      <c r="C223" t="s">
        <v>582</v>
      </c>
      <c r="D223" s="2" t="s">
        <v>587</v>
      </c>
      <c r="E223" s="1" t="s">
        <v>593</v>
      </c>
      <c r="F223" s="3">
        <v>117</v>
      </c>
      <c r="G223" s="4">
        <v>90000</v>
      </c>
      <c r="H223" s="5">
        <v>71</v>
      </c>
      <c r="I223" s="6">
        <v>45781</v>
      </c>
      <c r="J223" s="2" t="s">
        <v>597</v>
      </c>
      <c r="K223" s="15">
        <f>PRODUCT(Table2[[#This Row],[Ticket Price]],Table2[[#This Row],[Passenger Count]])</f>
        <v>6390000</v>
      </c>
      <c r="L223" s="15">
        <f>Table2[[#This Row],[Revenue]]*(1-$O$2)</f>
        <v>5751000</v>
      </c>
    </row>
    <row r="224" spans="1:12" x14ac:dyDescent="0.35">
      <c r="A224" t="s">
        <v>219</v>
      </c>
      <c r="B224" t="s">
        <v>514</v>
      </c>
      <c r="C224" t="s">
        <v>588</v>
      </c>
      <c r="D224" s="2" t="s">
        <v>583</v>
      </c>
      <c r="E224" s="1" t="s">
        <v>594</v>
      </c>
      <c r="F224" s="3">
        <v>172</v>
      </c>
      <c r="G224" s="4">
        <v>50000</v>
      </c>
      <c r="H224" s="5">
        <v>149</v>
      </c>
      <c r="I224" s="6">
        <v>45827</v>
      </c>
      <c r="J224" s="2" t="s">
        <v>598</v>
      </c>
      <c r="K224" s="15">
        <f>PRODUCT(Table2[[#This Row],[Ticket Price]],Table2[[#This Row],[Passenger Count]])</f>
        <v>7450000</v>
      </c>
      <c r="L224" s="15">
        <f>Table2[[#This Row],[Revenue]]*(1-$O$2)</f>
        <v>6705000</v>
      </c>
    </row>
    <row r="225" spans="1:12" x14ac:dyDescent="0.35">
      <c r="A225" t="s">
        <v>220</v>
      </c>
      <c r="B225" t="s">
        <v>399</v>
      </c>
      <c r="C225" t="s">
        <v>588</v>
      </c>
      <c r="D225" s="2" t="s">
        <v>589</v>
      </c>
      <c r="E225" s="1" t="s">
        <v>596</v>
      </c>
      <c r="F225" s="3">
        <v>-3</v>
      </c>
      <c r="G225" s="4">
        <v>125000</v>
      </c>
      <c r="H225" s="5">
        <v>94</v>
      </c>
      <c r="I225" s="6">
        <v>45803</v>
      </c>
      <c r="J225" s="2" t="s">
        <v>597</v>
      </c>
      <c r="K225" s="15">
        <f>PRODUCT(Table2[[#This Row],[Ticket Price]],Table2[[#This Row],[Passenger Count]])</f>
        <v>11750000</v>
      </c>
      <c r="L225" s="15">
        <f>Table2[[#This Row],[Revenue]]*(1-$O$2)</f>
        <v>10575000</v>
      </c>
    </row>
    <row r="226" spans="1:12" x14ac:dyDescent="0.35">
      <c r="A226" t="s">
        <v>221</v>
      </c>
      <c r="B226" t="s">
        <v>515</v>
      </c>
      <c r="C226" t="s">
        <v>581</v>
      </c>
      <c r="D226" s="2" t="s">
        <v>590</v>
      </c>
      <c r="E226" s="1" t="s">
        <v>595</v>
      </c>
      <c r="F226" s="3">
        <v>50</v>
      </c>
      <c r="G226" s="4">
        <v>105000</v>
      </c>
      <c r="H226" s="5">
        <v>87</v>
      </c>
      <c r="I226" s="6">
        <v>45678</v>
      </c>
      <c r="J226" s="2" t="s">
        <v>598</v>
      </c>
      <c r="K226" s="15">
        <f>PRODUCT(Table2[[#This Row],[Ticket Price]],Table2[[#This Row],[Passenger Count]])</f>
        <v>9135000</v>
      </c>
      <c r="L226" s="15">
        <f>Table2[[#This Row],[Revenue]]*(1-$O$2)</f>
        <v>8221500</v>
      </c>
    </row>
    <row r="227" spans="1:12" x14ac:dyDescent="0.35">
      <c r="A227" t="s">
        <v>222</v>
      </c>
      <c r="B227" t="s">
        <v>516</v>
      </c>
      <c r="C227" t="s">
        <v>586</v>
      </c>
      <c r="D227" s="2" t="s">
        <v>591</v>
      </c>
      <c r="E227" s="1" t="s">
        <v>592</v>
      </c>
      <c r="F227" s="3">
        <v>-2</v>
      </c>
      <c r="G227" s="4">
        <v>90000</v>
      </c>
      <c r="H227" s="5">
        <v>130</v>
      </c>
      <c r="I227" s="6">
        <v>45688</v>
      </c>
      <c r="J227" s="2" t="s">
        <v>598</v>
      </c>
      <c r="K227" s="15">
        <f>PRODUCT(Table2[[#This Row],[Ticket Price]],Table2[[#This Row],[Passenger Count]])</f>
        <v>11700000</v>
      </c>
      <c r="L227" s="15">
        <f>Table2[[#This Row],[Revenue]]*(1-$O$2)</f>
        <v>10530000</v>
      </c>
    </row>
    <row r="228" spans="1:12" x14ac:dyDescent="0.35">
      <c r="A228" t="s">
        <v>223</v>
      </c>
      <c r="B228" t="s">
        <v>432</v>
      </c>
      <c r="C228" t="s">
        <v>583</v>
      </c>
      <c r="D228" s="2" t="s">
        <v>590</v>
      </c>
      <c r="E228" s="1" t="s">
        <v>595</v>
      </c>
      <c r="F228" s="3">
        <v>147</v>
      </c>
      <c r="G228" s="4">
        <v>85000</v>
      </c>
      <c r="H228" s="5">
        <v>110</v>
      </c>
      <c r="I228" s="6">
        <v>45673</v>
      </c>
      <c r="J228" s="2" t="s">
        <v>598</v>
      </c>
      <c r="K228" s="15">
        <f>PRODUCT(Table2[[#This Row],[Ticket Price]],Table2[[#This Row],[Passenger Count]])</f>
        <v>9350000</v>
      </c>
      <c r="L228" s="15">
        <f>Table2[[#This Row],[Revenue]]*(1-$O$2)</f>
        <v>8415000</v>
      </c>
    </row>
    <row r="229" spans="1:12" x14ac:dyDescent="0.35">
      <c r="A229" t="s">
        <v>224</v>
      </c>
      <c r="B229" t="s">
        <v>425</v>
      </c>
      <c r="C229" t="s">
        <v>581</v>
      </c>
      <c r="D229" s="2" t="s">
        <v>583</v>
      </c>
      <c r="E229" s="1" t="s">
        <v>594</v>
      </c>
      <c r="F229" s="3">
        <v>76</v>
      </c>
      <c r="G229" s="4">
        <v>60000</v>
      </c>
      <c r="H229" s="5">
        <v>156</v>
      </c>
      <c r="I229" s="6">
        <v>45750</v>
      </c>
      <c r="J229" s="2" t="s">
        <v>597</v>
      </c>
      <c r="K229" s="15">
        <f>PRODUCT(Table2[[#This Row],[Ticket Price]],Table2[[#This Row],[Passenger Count]])</f>
        <v>9360000</v>
      </c>
      <c r="L229" s="15">
        <f>Table2[[#This Row],[Revenue]]*(1-$O$2)</f>
        <v>8424000</v>
      </c>
    </row>
    <row r="230" spans="1:12" x14ac:dyDescent="0.35">
      <c r="A230" t="s">
        <v>225</v>
      </c>
      <c r="B230" t="s">
        <v>439</v>
      </c>
      <c r="C230" t="s">
        <v>585</v>
      </c>
      <c r="D230" s="2" t="s">
        <v>589</v>
      </c>
      <c r="E230" s="1" t="s">
        <v>596</v>
      </c>
      <c r="F230" s="3">
        <v>118</v>
      </c>
      <c r="G230" s="4">
        <v>60000</v>
      </c>
      <c r="H230" s="5">
        <v>63</v>
      </c>
      <c r="I230" s="6">
        <v>45804</v>
      </c>
      <c r="J230" s="2" t="s">
        <v>598</v>
      </c>
      <c r="K230" s="15">
        <f>PRODUCT(Table2[[#This Row],[Ticket Price]],Table2[[#This Row],[Passenger Count]])</f>
        <v>3780000</v>
      </c>
      <c r="L230" s="15">
        <f>Table2[[#This Row],[Revenue]]*(1-$O$2)</f>
        <v>3402000</v>
      </c>
    </row>
    <row r="231" spans="1:12" x14ac:dyDescent="0.35">
      <c r="A231" t="s">
        <v>226</v>
      </c>
      <c r="B231" t="s">
        <v>517</v>
      </c>
      <c r="C231" t="s">
        <v>587</v>
      </c>
      <c r="D231" s="2" t="s">
        <v>591</v>
      </c>
      <c r="E231" s="1" t="s">
        <v>594</v>
      </c>
      <c r="F231" s="3">
        <v>132</v>
      </c>
      <c r="G231" s="4">
        <v>105000</v>
      </c>
      <c r="H231" s="5">
        <v>148</v>
      </c>
      <c r="I231" s="6">
        <v>45704</v>
      </c>
      <c r="J231" s="2" t="s">
        <v>598</v>
      </c>
      <c r="K231" s="15">
        <f>PRODUCT(Table2[[#This Row],[Ticket Price]],Table2[[#This Row],[Passenger Count]])</f>
        <v>15540000</v>
      </c>
      <c r="L231" s="15">
        <f>Table2[[#This Row],[Revenue]]*(1-$O$2)</f>
        <v>13986000</v>
      </c>
    </row>
    <row r="232" spans="1:12" x14ac:dyDescent="0.35">
      <c r="A232" t="s">
        <v>227</v>
      </c>
      <c r="B232" t="s">
        <v>436</v>
      </c>
      <c r="C232" t="s">
        <v>583</v>
      </c>
      <c r="D232" s="2" t="s">
        <v>587</v>
      </c>
      <c r="E232" s="1" t="s">
        <v>592</v>
      </c>
      <c r="F232" s="3">
        <v>86</v>
      </c>
      <c r="G232" s="4">
        <v>110000</v>
      </c>
      <c r="H232" s="5">
        <v>168</v>
      </c>
      <c r="I232" s="6">
        <v>45782</v>
      </c>
      <c r="J232" s="2" t="s">
        <v>597</v>
      </c>
      <c r="K232" s="15">
        <f>PRODUCT(Table2[[#This Row],[Ticket Price]],Table2[[#This Row],[Passenger Count]])</f>
        <v>18480000</v>
      </c>
      <c r="L232" s="15">
        <f>Table2[[#This Row],[Revenue]]*(1-$O$2)</f>
        <v>16632000</v>
      </c>
    </row>
    <row r="233" spans="1:12" x14ac:dyDescent="0.35">
      <c r="A233" t="s">
        <v>228</v>
      </c>
      <c r="B233" t="s">
        <v>518</v>
      </c>
      <c r="C233" t="s">
        <v>581</v>
      </c>
      <c r="D233" s="2" t="s">
        <v>591</v>
      </c>
      <c r="E233" s="1" t="s">
        <v>596</v>
      </c>
      <c r="F233" s="3">
        <v>107</v>
      </c>
      <c r="G233" s="4">
        <v>150000</v>
      </c>
      <c r="H233" s="5">
        <v>73</v>
      </c>
      <c r="I233" s="6">
        <v>45821</v>
      </c>
      <c r="J233" s="2" t="s">
        <v>597</v>
      </c>
      <c r="K233" s="15">
        <f>PRODUCT(Table2[[#This Row],[Ticket Price]],Table2[[#This Row],[Passenger Count]])</f>
        <v>10950000</v>
      </c>
      <c r="L233" s="15">
        <f>Table2[[#This Row],[Revenue]]*(1-$O$2)</f>
        <v>9855000</v>
      </c>
    </row>
    <row r="234" spans="1:12" x14ac:dyDescent="0.35">
      <c r="A234" t="s">
        <v>229</v>
      </c>
      <c r="B234" t="s">
        <v>444</v>
      </c>
      <c r="C234" t="s">
        <v>585</v>
      </c>
      <c r="D234" s="2" t="s">
        <v>590</v>
      </c>
      <c r="E234" s="1" t="s">
        <v>593</v>
      </c>
      <c r="F234" s="3">
        <v>153</v>
      </c>
      <c r="G234" s="4">
        <v>110000</v>
      </c>
      <c r="H234" s="5">
        <v>169</v>
      </c>
      <c r="I234" s="6">
        <v>45727</v>
      </c>
      <c r="J234" s="2" t="s">
        <v>598</v>
      </c>
      <c r="K234" s="15">
        <f>PRODUCT(Table2[[#This Row],[Ticket Price]],Table2[[#This Row],[Passenger Count]])</f>
        <v>18590000</v>
      </c>
      <c r="L234" s="15">
        <f>Table2[[#This Row],[Revenue]]*(1-$O$2)</f>
        <v>16731000</v>
      </c>
    </row>
    <row r="235" spans="1:12" x14ac:dyDescent="0.35">
      <c r="A235" t="s">
        <v>230</v>
      </c>
      <c r="B235" t="s">
        <v>386</v>
      </c>
      <c r="C235" t="s">
        <v>584</v>
      </c>
      <c r="D235" s="2" t="s">
        <v>590</v>
      </c>
      <c r="E235" s="1" t="s">
        <v>593</v>
      </c>
      <c r="F235" s="3">
        <v>33</v>
      </c>
      <c r="G235" s="4">
        <v>50000</v>
      </c>
      <c r="H235" s="5">
        <v>118</v>
      </c>
      <c r="I235" s="6">
        <v>45828</v>
      </c>
      <c r="J235" s="2" t="s">
        <v>597</v>
      </c>
      <c r="K235" s="15">
        <f>PRODUCT(Table2[[#This Row],[Ticket Price]],Table2[[#This Row],[Passenger Count]])</f>
        <v>5900000</v>
      </c>
      <c r="L235" s="15">
        <f>Table2[[#This Row],[Revenue]]*(1-$O$2)</f>
        <v>5310000</v>
      </c>
    </row>
    <row r="236" spans="1:12" x14ac:dyDescent="0.35">
      <c r="A236" t="s">
        <v>231</v>
      </c>
      <c r="B236" t="s">
        <v>519</v>
      </c>
      <c r="C236" t="s">
        <v>583</v>
      </c>
      <c r="D236" s="2" t="s">
        <v>590</v>
      </c>
      <c r="E236" s="1" t="s">
        <v>595</v>
      </c>
      <c r="F236" s="3">
        <v>180</v>
      </c>
      <c r="G236" s="4">
        <v>130000</v>
      </c>
      <c r="H236" s="5">
        <v>109</v>
      </c>
      <c r="I236" s="6">
        <v>45802</v>
      </c>
      <c r="J236" s="2" t="s">
        <v>597</v>
      </c>
      <c r="K236" s="15">
        <f>PRODUCT(Table2[[#This Row],[Ticket Price]],Table2[[#This Row],[Passenger Count]])</f>
        <v>14170000</v>
      </c>
      <c r="L236" s="15">
        <f>Table2[[#This Row],[Revenue]]*(1-$O$2)</f>
        <v>12753000</v>
      </c>
    </row>
    <row r="237" spans="1:12" x14ac:dyDescent="0.35">
      <c r="A237" t="s">
        <v>232</v>
      </c>
      <c r="B237" t="s">
        <v>520</v>
      </c>
      <c r="C237" t="s">
        <v>581</v>
      </c>
      <c r="D237" s="2" t="s">
        <v>583</v>
      </c>
      <c r="E237" s="1" t="s">
        <v>596</v>
      </c>
      <c r="F237" s="3">
        <v>25</v>
      </c>
      <c r="G237" s="4">
        <v>105000</v>
      </c>
      <c r="H237" s="5">
        <v>114</v>
      </c>
      <c r="I237" s="6">
        <v>45787</v>
      </c>
      <c r="J237" s="2" t="s">
        <v>598</v>
      </c>
      <c r="K237" s="15">
        <f>PRODUCT(Table2[[#This Row],[Ticket Price]],Table2[[#This Row],[Passenger Count]])</f>
        <v>11970000</v>
      </c>
      <c r="L237" s="15">
        <f>Table2[[#This Row],[Revenue]]*(1-$O$2)</f>
        <v>10773000</v>
      </c>
    </row>
    <row r="238" spans="1:12" x14ac:dyDescent="0.35">
      <c r="A238" t="s">
        <v>233</v>
      </c>
      <c r="B238" t="s">
        <v>521</v>
      </c>
      <c r="C238" t="s">
        <v>586</v>
      </c>
      <c r="D238" s="2" t="s">
        <v>582</v>
      </c>
      <c r="E238" s="1" t="s">
        <v>592</v>
      </c>
      <c r="F238" s="3">
        <v>-2</v>
      </c>
      <c r="G238" s="4">
        <v>85000</v>
      </c>
      <c r="H238" s="5">
        <v>71</v>
      </c>
      <c r="I238" s="6">
        <v>45687</v>
      </c>
      <c r="J238" s="2" t="s">
        <v>597</v>
      </c>
      <c r="K238" s="15">
        <f>PRODUCT(Table2[[#This Row],[Ticket Price]],Table2[[#This Row],[Passenger Count]])</f>
        <v>6035000</v>
      </c>
      <c r="L238" s="15">
        <f>Table2[[#This Row],[Revenue]]*(1-$O$2)</f>
        <v>5431500</v>
      </c>
    </row>
    <row r="239" spans="1:12" x14ac:dyDescent="0.35">
      <c r="A239" t="s">
        <v>234</v>
      </c>
      <c r="B239" t="s">
        <v>522</v>
      </c>
      <c r="C239" t="s">
        <v>584</v>
      </c>
      <c r="D239" s="2" t="s">
        <v>587</v>
      </c>
      <c r="E239" s="1" t="s">
        <v>592</v>
      </c>
      <c r="F239" s="3">
        <v>112</v>
      </c>
      <c r="G239" s="4">
        <v>135000</v>
      </c>
      <c r="H239" s="5">
        <v>125</v>
      </c>
      <c r="I239" s="6">
        <v>45711</v>
      </c>
      <c r="J239" s="2" t="s">
        <v>598</v>
      </c>
      <c r="K239" s="15">
        <f>PRODUCT(Table2[[#This Row],[Ticket Price]],Table2[[#This Row],[Passenger Count]])</f>
        <v>16875000</v>
      </c>
      <c r="L239" s="15">
        <f>Table2[[#This Row],[Revenue]]*(1-$O$2)</f>
        <v>15187500</v>
      </c>
    </row>
    <row r="240" spans="1:12" x14ac:dyDescent="0.35">
      <c r="A240" t="s">
        <v>235</v>
      </c>
      <c r="B240" t="s">
        <v>523</v>
      </c>
      <c r="C240" t="s">
        <v>582</v>
      </c>
      <c r="D240" s="2" t="s">
        <v>591</v>
      </c>
      <c r="E240" s="1" t="s">
        <v>594</v>
      </c>
      <c r="F240" s="3">
        <v>33</v>
      </c>
      <c r="G240" s="4">
        <v>120000</v>
      </c>
      <c r="H240" s="5">
        <v>70</v>
      </c>
      <c r="I240" s="6">
        <v>45763</v>
      </c>
      <c r="J240" s="2" t="s">
        <v>597</v>
      </c>
      <c r="K240" s="15">
        <f>PRODUCT(Table2[[#This Row],[Ticket Price]],Table2[[#This Row],[Passenger Count]])</f>
        <v>8400000</v>
      </c>
      <c r="L240" s="15">
        <f>Table2[[#This Row],[Revenue]]*(1-$O$2)</f>
        <v>7560000</v>
      </c>
    </row>
    <row r="241" spans="1:12" x14ac:dyDescent="0.35">
      <c r="A241" t="s">
        <v>236</v>
      </c>
      <c r="B241" t="s">
        <v>524</v>
      </c>
      <c r="C241" t="s">
        <v>584</v>
      </c>
      <c r="D241" s="2" t="s">
        <v>590</v>
      </c>
      <c r="E241" s="1" t="s">
        <v>596</v>
      </c>
      <c r="F241" s="3">
        <v>10</v>
      </c>
      <c r="G241" s="4">
        <v>45000</v>
      </c>
      <c r="H241" s="5">
        <v>152</v>
      </c>
      <c r="I241" s="6">
        <v>45768</v>
      </c>
      <c r="J241" s="2" t="s">
        <v>598</v>
      </c>
      <c r="K241" s="15">
        <f>PRODUCT(Table2[[#This Row],[Ticket Price]],Table2[[#This Row],[Passenger Count]])</f>
        <v>6840000</v>
      </c>
      <c r="L241" s="15">
        <f>Table2[[#This Row],[Revenue]]*(1-$O$2)</f>
        <v>6156000</v>
      </c>
    </row>
    <row r="242" spans="1:12" x14ac:dyDescent="0.35">
      <c r="A242" t="s">
        <v>237</v>
      </c>
      <c r="B242" t="s">
        <v>418</v>
      </c>
      <c r="C242" t="s">
        <v>583</v>
      </c>
      <c r="D242" s="2" t="s">
        <v>587</v>
      </c>
      <c r="E242" s="1" t="s">
        <v>595</v>
      </c>
      <c r="F242" s="3">
        <v>146</v>
      </c>
      <c r="G242" s="4">
        <v>140000</v>
      </c>
      <c r="H242" s="5">
        <v>136</v>
      </c>
      <c r="I242" s="6">
        <v>45824</v>
      </c>
      <c r="J242" s="2" t="s">
        <v>597</v>
      </c>
      <c r="K242" s="15">
        <f>PRODUCT(Table2[[#This Row],[Ticket Price]],Table2[[#This Row],[Passenger Count]])</f>
        <v>19040000</v>
      </c>
      <c r="L242" s="15">
        <f>Table2[[#This Row],[Revenue]]*(1-$O$2)</f>
        <v>17136000</v>
      </c>
    </row>
    <row r="243" spans="1:12" x14ac:dyDescent="0.35">
      <c r="A243" t="s">
        <v>238</v>
      </c>
      <c r="B243" t="s">
        <v>525</v>
      </c>
      <c r="C243" t="s">
        <v>582</v>
      </c>
      <c r="D243" s="2" t="s">
        <v>585</v>
      </c>
      <c r="E243" s="1" t="s">
        <v>593</v>
      </c>
      <c r="F243" s="3">
        <v>122</v>
      </c>
      <c r="G243" s="4">
        <v>140000</v>
      </c>
      <c r="H243" s="5">
        <v>102</v>
      </c>
      <c r="I243" s="6">
        <v>45777</v>
      </c>
      <c r="J243" s="2" t="s">
        <v>597</v>
      </c>
      <c r="K243" s="15">
        <f>PRODUCT(Table2[[#This Row],[Ticket Price]],Table2[[#This Row],[Passenger Count]])</f>
        <v>14280000</v>
      </c>
      <c r="L243" s="15">
        <f>Table2[[#This Row],[Revenue]]*(1-$O$2)</f>
        <v>12852000</v>
      </c>
    </row>
    <row r="244" spans="1:12" x14ac:dyDescent="0.35">
      <c r="A244" t="s">
        <v>239</v>
      </c>
      <c r="B244" t="s">
        <v>526</v>
      </c>
      <c r="C244" t="s">
        <v>588</v>
      </c>
      <c r="D244" s="2" t="s">
        <v>584</v>
      </c>
      <c r="E244" s="1" t="s">
        <v>596</v>
      </c>
      <c r="F244" s="3">
        <v>105</v>
      </c>
      <c r="G244" s="4">
        <v>30000</v>
      </c>
      <c r="H244" s="5">
        <v>92</v>
      </c>
      <c r="I244" s="6">
        <v>45788</v>
      </c>
      <c r="J244" s="2" t="s">
        <v>597</v>
      </c>
      <c r="K244" s="15">
        <f>PRODUCT(Table2[[#This Row],[Ticket Price]],Table2[[#This Row],[Passenger Count]])</f>
        <v>2760000</v>
      </c>
      <c r="L244" s="15">
        <f>Table2[[#This Row],[Revenue]]*(1-$O$2)</f>
        <v>2484000</v>
      </c>
    </row>
    <row r="245" spans="1:12" x14ac:dyDescent="0.35">
      <c r="A245" t="s">
        <v>240</v>
      </c>
      <c r="B245" t="s">
        <v>527</v>
      </c>
      <c r="C245" t="s">
        <v>588</v>
      </c>
      <c r="D245" s="2" t="s">
        <v>591</v>
      </c>
      <c r="E245" s="1" t="s">
        <v>593</v>
      </c>
      <c r="F245" s="3">
        <v>60</v>
      </c>
      <c r="G245" s="4">
        <v>30000</v>
      </c>
      <c r="H245" s="5">
        <v>77</v>
      </c>
      <c r="I245" s="6">
        <v>45826</v>
      </c>
      <c r="J245" s="2" t="s">
        <v>597</v>
      </c>
      <c r="K245" s="15">
        <f>PRODUCT(Table2[[#This Row],[Ticket Price]],Table2[[#This Row],[Passenger Count]])</f>
        <v>2310000</v>
      </c>
      <c r="L245" s="15">
        <f>Table2[[#This Row],[Revenue]]*(1-$O$2)</f>
        <v>2079000</v>
      </c>
    </row>
    <row r="246" spans="1:12" x14ac:dyDescent="0.35">
      <c r="A246" t="s">
        <v>241</v>
      </c>
      <c r="B246" t="s">
        <v>528</v>
      </c>
      <c r="C246" t="s">
        <v>585</v>
      </c>
      <c r="D246" s="2" t="s">
        <v>590</v>
      </c>
      <c r="E246" s="1" t="s">
        <v>596</v>
      </c>
      <c r="F246" s="3">
        <v>84</v>
      </c>
      <c r="G246" s="4">
        <v>115000</v>
      </c>
      <c r="H246" s="5">
        <v>101</v>
      </c>
      <c r="I246" s="6">
        <v>45746</v>
      </c>
      <c r="J246" s="2" t="s">
        <v>597</v>
      </c>
      <c r="K246" s="15">
        <f>PRODUCT(Table2[[#This Row],[Ticket Price]],Table2[[#This Row],[Passenger Count]])</f>
        <v>11615000</v>
      </c>
      <c r="L246" s="15">
        <f>Table2[[#This Row],[Revenue]]*(1-$O$2)</f>
        <v>10453500</v>
      </c>
    </row>
    <row r="247" spans="1:12" x14ac:dyDescent="0.35">
      <c r="A247" t="s">
        <v>242</v>
      </c>
      <c r="B247" t="s">
        <v>521</v>
      </c>
      <c r="C247" t="s">
        <v>582</v>
      </c>
      <c r="D247" s="2" t="s">
        <v>583</v>
      </c>
      <c r="E247" s="1" t="s">
        <v>594</v>
      </c>
      <c r="F247" s="3">
        <v>27</v>
      </c>
      <c r="G247" s="4">
        <v>45000</v>
      </c>
      <c r="H247" s="5">
        <v>162</v>
      </c>
      <c r="I247" s="6">
        <v>45742</v>
      </c>
      <c r="J247" s="2" t="s">
        <v>598</v>
      </c>
      <c r="K247" s="15">
        <f>PRODUCT(Table2[[#This Row],[Ticket Price]],Table2[[#This Row],[Passenger Count]])</f>
        <v>7290000</v>
      </c>
      <c r="L247" s="15">
        <f>Table2[[#This Row],[Revenue]]*(1-$O$2)</f>
        <v>6561000</v>
      </c>
    </row>
    <row r="248" spans="1:12" x14ac:dyDescent="0.35">
      <c r="A248" t="s">
        <v>243</v>
      </c>
      <c r="B248" t="s">
        <v>457</v>
      </c>
      <c r="C248" t="s">
        <v>581</v>
      </c>
      <c r="D248" s="2" t="s">
        <v>590</v>
      </c>
      <c r="E248" s="1" t="s">
        <v>595</v>
      </c>
      <c r="F248" s="3">
        <v>5</v>
      </c>
      <c r="G248" s="4">
        <v>140000</v>
      </c>
      <c r="H248" s="5">
        <v>91</v>
      </c>
      <c r="I248" s="6">
        <v>45735</v>
      </c>
      <c r="J248" s="2" t="s">
        <v>597</v>
      </c>
      <c r="K248" s="15">
        <f>PRODUCT(Table2[[#This Row],[Ticket Price]],Table2[[#This Row],[Passenger Count]])</f>
        <v>12740000</v>
      </c>
      <c r="L248" s="15">
        <f>Table2[[#This Row],[Revenue]]*(1-$O$2)</f>
        <v>11466000</v>
      </c>
    </row>
    <row r="249" spans="1:12" x14ac:dyDescent="0.35">
      <c r="A249" t="s">
        <v>244</v>
      </c>
      <c r="B249" t="s">
        <v>529</v>
      </c>
      <c r="C249" t="s">
        <v>588</v>
      </c>
      <c r="D249" s="2" t="s">
        <v>589</v>
      </c>
      <c r="E249" s="1" t="s">
        <v>595</v>
      </c>
      <c r="F249" s="3">
        <v>111</v>
      </c>
      <c r="G249" s="4">
        <v>65000</v>
      </c>
      <c r="H249" s="5">
        <v>139</v>
      </c>
      <c r="I249" s="6">
        <v>45777</v>
      </c>
      <c r="J249" s="2" t="s">
        <v>597</v>
      </c>
      <c r="K249" s="15">
        <f>PRODUCT(Table2[[#This Row],[Ticket Price]],Table2[[#This Row],[Passenger Count]])</f>
        <v>9035000</v>
      </c>
      <c r="L249" s="15">
        <f>Table2[[#This Row],[Revenue]]*(1-$O$2)</f>
        <v>8131500</v>
      </c>
    </row>
    <row r="250" spans="1:12" x14ac:dyDescent="0.35">
      <c r="A250" t="s">
        <v>245</v>
      </c>
      <c r="B250" t="s">
        <v>446</v>
      </c>
      <c r="C250" t="s">
        <v>582</v>
      </c>
      <c r="D250" s="2" t="s">
        <v>584</v>
      </c>
      <c r="E250" s="1" t="s">
        <v>596</v>
      </c>
      <c r="F250" s="3">
        <v>112</v>
      </c>
      <c r="G250" s="4">
        <v>125000</v>
      </c>
      <c r="H250" s="5">
        <v>179</v>
      </c>
      <c r="I250" s="6">
        <v>45723</v>
      </c>
      <c r="J250" s="2" t="s">
        <v>597</v>
      </c>
      <c r="K250" s="15">
        <f>PRODUCT(Table2[[#This Row],[Ticket Price]],Table2[[#This Row],[Passenger Count]])</f>
        <v>22375000</v>
      </c>
      <c r="L250" s="15">
        <f>Table2[[#This Row],[Revenue]]*(1-$O$2)</f>
        <v>20137500</v>
      </c>
    </row>
    <row r="251" spans="1:12" x14ac:dyDescent="0.35">
      <c r="A251" t="s">
        <v>246</v>
      </c>
      <c r="B251" t="s">
        <v>410</v>
      </c>
      <c r="C251" t="s">
        <v>581</v>
      </c>
      <c r="D251" s="2" t="s">
        <v>590</v>
      </c>
      <c r="E251" s="1" t="s">
        <v>595</v>
      </c>
      <c r="F251" s="3">
        <v>121</v>
      </c>
      <c r="G251" s="4">
        <v>70000</v>
      </c>
      <c r="H251" s="5">
        <v>134</v>
      </c>
      <c r="I251" s="6">
        <v>45698</v>
      </c>
      <c r="J251" s="2" t="s">
        <v>598</v>
      </c>
      <c r="K251" s="15">
        <f>PRODUCT(Table2[[#This Row],[Ticket Price]],Table2[[#This Row],[Passenger Count]])</f>
        <v>9380000</v>
      </c>
      <c r="L251" s="15">
        <f>Table2[[#This Row],[Revenue]]*(1-$O$2)</f>
        <v>8442000</v>
      </c>
    </row>
    <row r="252" spans="1:12" x14ac:dyDescent="0.35">
      <c r="A252" t="s">
        <v>247</v>
      </c>
      <c r="B252" t="s">
        <v>530</v>
      </c>
      <c r="C252" t="s">
        <v>588</v>
      </c>
      <c r="D252" s="2" t="s">
        <v>584</v>
      </c>
      <c r="E252" s="1" t="s">
        <v>595</v>
      </c>
      <c r="F252" s="3">
        <v>176</v>
      </c>
      <c r="G252" s="4">
        <v>65000</v>
      </c>
      <c r="H252" s="5">
        <v>149</v>
      </c>
      <c r="I252" s="6">
        <v>45715</v>
      </c>
      <c r="J252" s="2" t="s">
        <v>597</v>
      </c>
      <c r="K252" s="15">
        <f>PRODUCT(Table2[[#This Row],[Ticket Price]],Table2[[#This Row],[Passenger Count]])</f>
        <v>9685000</v>
      </c>
      <c r="L252" s="15">
        <f>Table2[[#This Row],[Revenue]]*(1-$O$2)</f>
        <v>8716500</v>
      </c>
    </row>
    <row r="253" spans="1:12" x14ac:dyDescent="0.35">
      <c r="A253" t="s">
        <v>248</v>
      </c>
      <c r="B253" t="s">
        <v>459</v>
      </c>
      <c r="C253" t="s">
        <v>585</v>
      </c>
      <c r="D253" s="2" t="s">
        <v>589</v>
      </c>
      <c r="E253" s="1" t="s">
        <v>596</v>
      </c>
      <c r="F253" s="3">
        <v>46</v>
      </c>
      <c r="G253" s="4">
        <v>145000</v>
      </c>
      <c r="H253" s="5">
        <v>86</v>
      </c>
      <c r="I253" s="6">
        <v>45804</v>
      </c>
      <c r="J253" s="2" t="s">
        <v>598</v>
      </c>
      <c r="K253" s="15">
        <f>PRODUCT(Table2[[#This Row],[Ticket Price]],Table2[[#This Row],[Passenger Count]])</f>
        <v>12470000</v>
      </c>
      <c r="L253" s="15">
        <f>Table2[[#This Row],[Revenue]]*(1-$O$2)</f>
        <v>11223000</v>
      </c>
    </row>
    <row r="254" spans="1:12" x14ac:dyDescent="0.35">
      <c r="A254" t="s">
        <v>249</v>
      </c>
      <c r="B254" t="s">
        <v>531</v>
      </c>
      <c r="C254" t="s">
        <v>586</v>
      </c>
      <c r="D254" s="2" t="s">
        <v>585</v>
      </c>
      <c r="E254" s="1" t="s">
        <v>594</v>
      </c>
      <c r="F254" s="3">
        <v>141</v>
      </c>
      <c r="G254" s="4">
        <v>75000</v>
      </c>
      <c r="H254" s="5">
        <v>83</v>
      </c>
      <c r="I254" s="6">
        <v>45738</v>
      </c>
      <c r="J254" s="2" t="s">
        <v>597</v>
      </c>
      <c r="K254" s="15">
        <f>PRODUCT(Table2[[#This Row],[Ticket Price]],Table2[[#This Row],[Passenger Count]])</f>
        <v>6225000</v>
      </c>
      <c r="L254" s="15">
        <f>Table2[[#This Row],[Revenue]]*(1-$O$2)</f>
        <v>5602500</v>
      </c>
    </row>
    <row r="255" spans="1:12" x14ac:dyDescent="0.35">
      <c r="A255" t="s">
        <v>250</v>
      </c>
      <c r="B255" t="s">
        <v>442</v>
      </c>
      <c r="C255" t="s">
        <v>586</v>
      </c>
      <c r="D255" s="2" t="s">
        <v>589</v>
      </c>
      <c r="E255" s="1" t="s">
        <v>594</v>
      </c>
      <c r="F255" s="3">
        <v>118</v>
      </c>
      <c r="G255" s="4">
        <v>75000</v>
      </c>
      <c r="H255" s="5">
        <v>75</v>
      </c>
      <c r="I255" s="6">
        <v>45683</v>
      </c>
      <c r="J255" s="2" t="s">
        <v>598</v>
      </c>
      <c r="K255" s="15">
        <f>PRODUCT(Table2[[#This Row],[Ticket Price]],Table2[[#This Row],[Passenger Count]])</f>
        <v>5625000</v>
      </c>
      <c r="L255" s="15">
        <f>Table2[[#This Row],[Revenue]]*(1-$O$2)</f>
        <v>5062500</v>
      </c>
    </row>
    <row r="256" spans="1:12" x14ac:dyDescent="0.35">
      <c r="A256" t="s">
        <v>251</v>
      </c>
      <c r="B256" t="s">
        <v>488</v>
      </c>
      <c r="C256" t="s">
        <v>587</v>
      </c>
      <c r="D256" s="2" t="s">
        <v>591</v>
      </c>
      <c r="E256" s="1" t="s">
        <v>592</v>
      </c>
      <c r="F256" s="3">
        <v>69</v>
      </c>
      <c r="G256" s="4">
        <v>95000</v>
      </c>
      <c r="H256" s="5">
        <v>62</v>
      </c>
      <c r="I256" s="6">
        <v>45670</v>
      </c>
      <c r="J256" s="2" t="s">
        <v>597</v>
      </c>
      <c r="K256" s="15">
        <f>PRODUCT(Table2[[#This Row],[Ticket Price]],Table2[[#This Row],[Passenger Count]])</f>
        <v>5890000</v>
      </c>
      <c r="L256" s="15">
        <f>Table2[[#This Row],[Revenue]]*(1-$O$2)</f>
        <v>5301000</v>
      </c>
    </row>
    <row r="257" spans="1:12" x14ac:dyDescent="0.35">
      <c r="A257" t="s">
        <v>252</v>
      </c>
      <c r="B257" t="s">
        <v>381</v>
      </c>
      <c r="C257" t="s">
        <v>588</v>
      </c>
      <c r="D257" s="2" t="s">
        <v>587</v>
      </c>
      <c r="E257" s="1" t="s">
        <v>594</v>
      </c>
      <c r="F257" s="3">
        <v>108</v>
      </c>
      <c r="G257" s="4">
        <v>80000</v>
      </c>
      <c r="H257" s="5">
        <v>92</v>
      </c>
      <c r="I257" s="6">
        <v>45795</v>
      </c>
      <c r="J257" s="2" t="s">
        <v>598</v>
      </c>
      <c r="K257" s="15">
        <f>PRODUCT(Table2[[#This Row],[Ticket Price]],Table2[[#This Row],[Passenger Count]])</f>
        <v>7360000</v>
      </c>
      <c r="L257" s="15">
        <f>Table2[[#This Row],[Revenue]]*(1-$O$2)</f>
        <v>6624000</v>
      </c>
    </row>
    <row r="258" spans="1:12" x14ac:dyDescent="0.35">
      <c r="A258" t="s">
        <v>253</v>
      </c>
      <c r="B258" t="s">
        <v>532</v>
      </c>
      <c r="C258" t="s">
        <v>585</v>
      </c>
      <c r="D258" s="2" t="s">
        <v>583</v>
      </c>
      <c r="E258" s="1" t="s">
        <v>594</v>
      </c>
      <c r="F258" s="3">
        <v>24</v>
      </c>
      <c r="G258" s="4">
        <v>130000</v>
      </c>
      <c r="H258" s="5">
        <v>153</v>
      </c>
      <c r="I258" s="6">
        <v>45681</v>
      </c>
      <c r="J258" s="2" t="s">
        <v>598</v>
      </c>
      <c r="K258" s="15">
        <f>PRODUCT(Table2[[#This Row],[Ticket Price]],Table2[[#This Row],[Passenger Count]])</f>
        <v>19890000</v>
      </c>
      <c r="L258" s="15">
        <f>Table2[[#This Row],[Revenue]]*(1-$O$2)</f>
        <v>17901000</v>
      </c>
    </row>
    <row r="259" spans="1:12" x14ac:dyDescent="0.35">
      <c r="A259" t="s">
        <v>254</v>
      </c>
      <c r="B259" t="s">
        <v>533</v>
      </c>
      <c r="C259" t="s">
        <v>582</v>
      </c>
      <c r="D259" s="2" t="s">
        <v>590</v>
      </c>
      <c r="E259" s="1" t="s">
        <v>594</v>
      </c>
      <c r="F259" s="3">
        <v>126</v>
      </c>
      <c r="G259" s="4">
        <v>95000</v>
      </c>
      <c r="H259" s="5">
        <v>150</v>
      </c>
      <c r="I259" s="6">
        <v>45836</v>
      </c>
      <c r="J259" s="2" t="s">
        <v>598</v>
      </c>
      <c r="K259" s="15">
        <f>PRODUCT(Table2[[#This Row],[Ticket Price]],Table2[[#This Row],[Passenger Count]])</f>
        <v>14250000</v>
      </c>
      <c r="L259" s="15">
        <f>Table2[[#This Row],[Revenue]]*(1-$O$2)</f>
        <v>12825000</v>
      </c>
    </row>
    <row r="260" spans="1:12" x14ac:dyDescent="0.35">
      <c r="A260" t="s">
        <v>255</v>
      </c>
      <c r="B260" t="s">
        <v>433</v>
      </c>
      <c r="C260" t="s">
        <v>585</v>
      </c>
      <c r="D260" s="2" t="s">
        <v>591</v>
      </c>
      <c r="E260" s="1" t="s">
        <v>592</v>
      </c>
      <c r="F260" s="3">
        <v>150</v>
      </c>
      <c r="G260" s="4">
        <v>70000</v>
      </c>
      <c r="H260" s="5">
        <v>109</v>
      </c>
      <c r="I260" s="6">
        <v>45784</v>
      </c>
      <c r="J260" s="2" t="s">
        <v>597</v>
      </c>
      <c r="K260" s="15">
        <f>PRODUCT(Table2[[#This Row],[Ticket Price]],Table2[[#This Row],[Passenger Count]])</f>
        <v>7630000</v>
      </c>
      <c r="L260" s="15">
        <f>Table2[[#This Row],[Revenue]]*(1-$O$2)</f>
        <v>6867000</v>
      </c>
    </row>
    <row r="261" spans="1:12" x14ac:dyDescent="0.35">
      <c r="A261" t="s">
        <v>256</v>
      </c>
      <c r="B261" t="s">
        <v>534</v>
      </c>
      <c r="C261" t="s">
        <v>586</v>
      </c>
      <c r="D261" s="2" t="s">
        <v>587</v>
      </c>
      <c r="E261" s="1" t="s">
        <v>594</v>
      </c>
      <c r="F261" s="3">
        <v>180</v>
      </c>
      <c r="G261" s="4">
        <v>110000</v>
      </c>
      <c r="H261" s="5">
        <v>90</v>
      </c>
      <c r="I261" s="6">
        <v>45760</v>
      </c>
      <c r="J261" s="2" t="s">
        <v>597</v>
      </c>
      <c r="K261" s="15">
        <f>PRODUCT(Table2[[#This Row],[Ticket Price]],Table2[[#This Row],[Passenger Count]])</f>
        <v>9900000</v>
      </c>
      <c r="L261" s="15">
        <f>Table2[[#This Row],[Revenue]]*(1-$O$2)</f>
        <v>8910000</v>
      </c>
    </row>
    <row r="262" spans="1:12" x14ac:dyDescent="0.35">
      <c r="A262" t="s">
        <v>257</v>
      </c>
      <c r="B262" t="s">
        <v>535</v>
      </c>
      <c r="C262" t="s">
        <v>584</v>
      </c>
      <c r="D262" s="2" t="s">
        <v>590</v>
      </c>
      <c r="E262" s="1" t="s">
        <v>596</v>
      </c>
      <c r="F262" s="3">
        <v>38</v>
      </c>
      <c r="G262" s="4">
        <v>35000</v>
      </c>
      <c r="H262" s="5">
        <v>127</v>
      </c>
      <c r="I262" s="6">
        <v>45711</v>
      </c>
      <c r="J262" s="2" t="s">
        <v>598</v>
      </c>
      <c r="K262" s="15">
        <f>PRODUCT(Table2[[#This Row],[Ticket Price]],Table2[[#This Row],[Passenger Count]])</f>
        <v>4445000</v>
      </c>
      <c r="L262" s="15">
        <f>Table2[[#This Row],[Revenue]]*(1-$O$2)</f>
        <v>4000500</v>
      </c>
    </row>
    <row r="263" spans="1:12" x14ac:dyDescent="0.35">
      <c r="A263" t="s">
        <v>258</v>
      </c>
      <c r="B263" t="s">
        <v>536</v>
      </c>
      <c r="C263" t="s">
        <v>584</v>
      </c>
      <c r="D263" s="2" t="s">
        <v>591</v>
      </c>
      <c r="E263" s="1" t="s">
        <v>596</v>
      </c>
      <c r="F263" s="3">
        <v>86</v>
      </c>
      <c r="G263" s="4">
        <v>90000</v>
      </c>
      <c r="H263" s="5">
        <v>155</v>
      </c>
      <c r="I263" s="6">
        <v>45684</v>
      </c>
      <c r="J263" s="2" t="s">
        <v>597</v>
      </c>
      <c r="K263" s="15">
        <f>PRODUCT(Table2[[#This Row],[Ticket Price]],Table2[[#This Row],[Passenger Count]])</f>
        <v>13950000</v>
      </c>
      <c r="L263" s="15">
        <f>Table2[[#This Row],[Revenue]]*(1-$O$2)</f>
        <v>12555000</v>
      </c>
    </row>
    <row r="264" spans="1:12" x14ac:dyDescent="0.35">
      <c r="A264" t="s">
        <v>259</v>
      </c>
      <c r="B264" t="s">
        <v>508</v>
      </c>
      <c r="C264" t="s">
        <v>588</v>
      </c>
      <c r="D264" s="2" t="s">
        <v>583</v>
      </c>
      <c r="E264" s="1" t="s">
        <v>595</v>
      </c>
      <c r="F264" s="3">
        <v>13</v>
      </c>
      <c r="G264" s="4">
        <v>115000</v>
      </c>
      <c r="H264" s="5">
        <v>161</v>
      </c>
      <c r="I264" s="6">
        <v>45760</v>
      </c>
      <c r="J264" s="2" t="s">
        <v>597</v>
      </c>
      <c r="K264" s="15">
        <f>PRODUCT(Table2[[#This Row],[Ticket Price]],Table2[[#This Row],[Passenger Count]])</f>
        <v>18515000</v>
      </c>
      <c r="L264" s="15">
        <f>Table2[[#This Row],[Revenue]]*(1-$O$2)</f>
        <v>16663500</v>
      </c>
    </row>
    <row r="265" spans="1:12" x14ac:dyDescent="0.35">
      <c r="A265" t="s">
        <v>260</v>
      </c>
      <c r="B265" t="s">
        <v>347</v>
      </c>
      <c r="C265" t="s">
        <v>581</v>
      </c>
      <c r="D265" s="2" t="s">
        <v>590</v>
      </c>
      <c r="E265" s="1" t="s">
        <v>594</v>
      </c>
      <c r="F265" s="3">
        <v>130</v>
      </c>
      <c r="G265" s="4">
        <v>100000</v>
      </c>
      <c r="H265" s="5">
        <v>97</v>
      </c>
      <c r="I265" s="6">
        <v>45739</v>
      </c>
      <c r="J265" s="2" t="s">
        <v>597</v>
      </c>
      <c r="K265" s="15">
        <f>PRODUCT(Table2[[#This Row],[Ticket Price]],Table2[[#This Row],[Passenger Count]])</f>
        <v>9700000</v>
      </c>
      <c r="L265" s="15">
        <f>Table2[[#This Row],[Revenue]]*(1-$O$2)</f>
        <v>8730000</v>
      </c>
    </row>
    <row r="266" spans="1:12" x14ac:dyDescent="0.35">
      <c r="A266" t="s">
        <v>261</v>
      </c>
      <c r="B266" t="s">
        <v>537</v>
      </c>
      <c r="C266" t="s">
        <v>588</v>
      </c>
      <c r="D266" s="2" t="s">
        <v>587</v>
      </c>
      <c r="E266" s="1" t="s">
        <v>595</v>
      </c>
      <c r="F266" s="3">
        <v>22</v>
      </c>
      <c r="G266" s="4">
        <v>55000</v>
      </c>
      <c r="H266" s="5">
        <v>68</v>
      </c>
      <c r="I266" s="6">
        <v>45686</v>
      </c>
      <c r="J266" s="2" t="s">
        <v>597</v>
      </c>
      <c r="K266" s="15">
        <f>PRODUCT(Table2[[#This Row],[Ticket Price]],Table2[[#This Row],[Passenger Count]])</f>
        <v>3740000</v>
      </c>
      <c r="L266" s="15">
        <f>Table2[[#This Row],[Revenue]]*(1-$O$2)</f>
        <v>3366000</v>
      </c>
    </row>
    <row r="267" spans="1:12" x14ac:dyDescent="0.35">
      <c r="A267" t="s">
        <v>262</v>
      </c>
      <c r="B267" t="s">
        <v>538</v>
      </c>
      <c r="C267" t="s">
        <v>583</v>
      </c>
      <c r="D267" s="2" t="s">
        <v>589</v>
      </c>
      <c r="E267" s="1" t="s">
        <v>596</v>
      </c>
      <c r="F267" s="3">
        <v>148</v>
      </c>
      <c r="G267" s="4">
        <v>125000</v>
      </c>
      <c r="H267" s="5">
        <v>144</v>
      </c>
      <c r="I267" s="6">
        <v>45821</v>
      </c>
      <c r="J267" s="2" t="s">
        <v>598</v>
      </c>
      <c r="K267" s="15">
        <f>PRODUCT(Table2[[#This Row],[Ticket Price]],Table2[[#This Row],[Passenger Count]])</f>
        <v>18000000</v>
      </c>
      <c r="L267" s="15">
        <f>Table2[[#This Row],[Revenue]]*(1-$O$2)</f>
        <v>16200000</v>
      </c>
    </row>
    <row r="268" spans="1:12" x14ac:dyDescent="0.35">
      <c r="A268" t="s">
        <v>263</v>
      </c>
      <c r="B268" t="s">
        <v>539</v>
      </c>
      <c r="C268" t="s">
        <v>583</v>
      </c>
      <c r="D268" s="2" t="s">
        <v>589</v>
      </c>
      <c r="E268" s="1" t="s">
        <v>596</v>
      </c>
      <c r="F268" s="3">
        <v>142</v>
      </c>
      <c r="G268" s="4">
        <v>50000</v>
      </c>
      <c r="H268" s="5">
        <v>152</v>
      </c>
      <c r="I268" s="6">
        <v>45701</v>
      </c>
      <c r="J268" s="2" t="s">
        <v>597</v>
      </c>
      <c r="K268" s="15">
        <f>PRODUCT(Table2[[#This Row],[Ticket Price]],Table2[[#This Row],[Passenger Count]])</f>
        <v>7600000</v>
      </c>
      <c r="L268" s="15">
        <f>Table2[[#This Row],[Revenue]]*(1-$O$2)</f>
        <v>6840000</v>
      </c>
    </row>
    <row r="269" spans="1:12" x14ac:dyDescent="0.35">
      <c r="A269" t="s">
        <v>264</v>
      </c>
      <c r="B269" t="s">
        <v>416</v>
      </c>
      <c r="C269" t="s">
        <v>583</v>
      </c>
      <c r="D269" s="2" t="s">
        <v>582</v>
      </c>
      <c r="E269" s="1" t="s">
        <v>595</v>
      </c>
      <c r="F269" s="3">
        <v>49</v>
      </c>
      <c r="G269" s="4">
        <v>55000</v>
      </c>
      <c r="H269" s="5">
        <v>147</v>
      </c>
      <c r="I269" s="6">
        <v>45795</v>
      </c>
      <c r="J269" s="2" t="s">
        <v>598</v>
      </c>
      <c r="K269" s="15">
        <f>PRODUCT(Table2[[#This Row],[Ticket Price]],Table2[[#This Row],[Passenger Count]])</f>
        <v>8085000</v>
      </c>
      <c r="L269" s="15">
        <f>Table2[[#This Row],[Revenue]]*(1-$O$2)</f>
        <v>7276500</v>
      </c>
    </row>
    <row r="270" spans="1:12" x14ac:dyDescent="0.35">
      <c r="A270" t="s">
        <v>265</v>
      </c>
      <c r="B270" t="s">
        <v>540</v>
      </c>
      <c r="C270" t="s">
        <v>581</v>
      </c>
      <c r="D270" s="2" t="s">
        <v>583</v>
      </c>
      <c r="E270" s="1" t="s">
        <v>592</v>
      </c>
      <c r="F270" s="3">
        <v>54</v>
      </c>
      <c r="G270" s="4">
        <v>40000</v>
      </c>
      <c r="H270" s="5">
        <v>87</v>
      </c>
      <c r="I270" s="6">
        <v>45763</v>
      </c>
      <c r="J270" s="2" t="s">
        <v>597</v>
      </c>
      <c r="K270" s="15">
        <f>PRODUCT(Table2[[#This Row],[Ticket Price]],Table2[[#This Row],[Passenger Count]])</f>
        <v>3480000</v>
      </c>
      <c r="L270" s="15">
        <f>Table2[[#This Row],[Revenue]]*(1-$O$2)</f>
        <v>3132000</v>
      </c>
    </row>
    <row r="271" spans="1:12" x14ac:dyDescent="0.35">
      <c r="A271" t="s">
        <v>266</v>
      </c>
      <c r="B271" t="s">
        <v>462</v>
      </c>
      <c r="C271" t="s">
        <v>582</v>
      </c>
      <c r="D271" s="2" t="s">
        <v>590</v>
      </c>
      <c r="E271" s="1" t="s">
        <v>593</v>
      </c>
      <c r="F271" s="3">
        <v>19</v>
      </c>
      <c r="G271" s="4">
        <v>35000</v>
      </c>
      <c r="H271" s="5">
        <v>151</v>
      </c>
      <c r="I271" s="6">
        <v>45757</v>
      </c>
      <c r="J271" s="2" t="s">
        <v>598</v>
      </c>
      <c r="K271" s="15">
        <f>PRODUCT(Table2[[#This Row],[Ticket Price]],Table2[[#This Row],[Passenger Count]])</f>
        <v>5285000</v>
      </c>
      <c r="L271" s="15">
        <f>Table2[[#This Row],[Revenue]]*(1-$O$2)</f>
        <v>4756500</v>
      </c>
    </row>
    <row r="272" spans="1:12" x14ac:dyDescent="0.35">
      <c r="A272" t="s">
        <v>267</v>
      </c>
      <c r="B272" t="s">
        <v>470</v>
      </c>
      <c r="C272" t="s">
        <v>581</v>
      </c>
      <c r="D272" s="2" t="s">
        <v>587</v>
      </c>
      <c r="E272" s="1" t="s">
        <v>596</v>
      </c>
      <c r="F272" s="3">
        <v>35</v>
      </c>
      <c r="G272" s="4">
        <v>145000</v>
      </c>
      <c r="H272" s="5">
        <v>146</v>
      </c>
      <c r="I272" s="6">
        <v>45791</v>
      </c>
      <c r="J272" s="2" t="s">
        <v>597</v>
      </c>
      <c r="K272" s="15">
        <f>PRODUCT(Table2[[#This Row],[Ticket Price]],Table2[[#This Row],[Passenger Count]])</f>
        <v>21170000</v>
      </c>
      <c r="L272" s="15">
        <f>Table2[[#This Row],[Revenue]]*(1-$O$2)</f>
        <v>19053000</v>
      </c>
    </row>
    <row r="273" spans="1:12" x14ac:dyDescent="0.35">
      <c r="A273" t="s">
        <v>268</v>
      </c>
      <c r="B273" t="s">
        <v>541</v>
      </c>
      <c r="C273" t="s">
        <v>588</v>
      </c>
      <c r="D273" s="2" t="s">
        <v>589</v>
      </c>
      <c r="E273" s="1" t="s">
        <v>592</v>
      </c>
      <c r="F273" s="3">
        <v>155</v>
      </c>
      <c r="G273" s="4">
        <v>75000</v>
      </c>
      <c r="H273" s="5">
        <v>118</v>
      </c>
      <c r="I273" s="6">
        <v>45755</v>
      </c>
      <c r="J273" s="2" t="s">
        <v>597</v>
      </c>
      <c r="K273" s="15">
        <f>PRODUCT(Table2[[#This Row],[Ticket Price]],Table2[[#This Row],[Passenger Count]])</f>
        <v>8850000</v>
      </c>
      <c r="L273" s="15">
        <f>Table2[[#This Row],[Revenue]]*(1-$O$2)</f>
        <v>7965000</v>
      </c>
    </row>
    <row r="274" spans="1:12" x14ac:dyDescent="0.35">
      <c r="A274" t="s">
        <v>269</v>
      </c>
      <c r="B274" t="s">
        <v>542</v>
      </c>
      <c r="C274" t="s">
        <v>581</v>
      </c>
      <c r="D274" s="2" t="s">
        <v>591</v>
      </c>
      <c r="E274" s="1" t="s">
        <v>592</v>
      </c>
      <c r="F274" s="3">
        <v>101</v>
      </c>
      <c r="G274" s="4">
        <v>65000</v>
      </c>
      <c r="H274" s="5">
        <v>84</v>
      </c>
      <c r="I274" s="6">
        <v>45832</v>
      </c>
      <c r="J274" s="2" t="s">
        <v>598</v>
      </c>
      <c r="K274" s="15">
        <f>PRODUCT(Table2[[#This Row],[Ticket Price]],Table2[[#This Row],[Passenger Count]])</f>
        <v>5460000</v>
      </c>
      <c r="L274" s="15">
        <f>Table2[[#This Row],[Revenue]]*(1-$O$2)</f>
        <v>4914000</v>
      </c>
    </row>
    <row r="275" spans="1:12" x14ac:dyDescent="0.35">
      <c r="A275" t="s">
        <v>270</v>
      </c>
      <c r="B275" t="s">
        <v>543</v>
      </c>
      <c r="C275" t="s">
        <v>583</v>
      </c>
      <c r="D275" s="2" t="s">
        <v>587</v>
      </c>
      <c r="E275" s="1" t="s">
        <v>596</v>
      </c>
      <c r="F275" s="3">
        <v>164</v>
      </c>
      <c r="G275" s="4">
        <v>35000</v>
      </c>
      <c r="H275" s="5">
        <v>90</v>
      </c>
      <c r="I275" s="6">
        <v>45771</v>
      </c>
      <c r="J275" s="2" t="s">
        <v>598</v>
      </c>
      <c r="K275" s="15">
        <f>PRODUCT(Table2[[#This Row],[Ticket Price]],Table2[[#This Row],[Passenger Count]])</f>
        <v>3150000</v>
      </c>
      <c r="L275" s="15">
        <f>Table2[[#This Row],[Revenue]]*(1-$O$2)</f>
        <v>2835000</v>
      </c>
    </row>
    <row r="276" spans="1:12" x14ac:dyDescent="0.35">
      <c r="A276" t="s">
        <v>271</v>
      </c>
      <c r="B276" t="s">
        <v>544</v>
      </c>
      <c r="C276" t="s">
        <v>587</v>
      </c>
      <c r="D276" s="2" t="s">
        <v>589</v>
      </c>
      <c r="E276" s="1" t="s">
        <v>593</v>
      </c>
      <c r="F276" s="3">
        <v>54</v>
      </c>
      <c r="G276" s="4">
        <v>105000</v>
      </c>
      <c r="H276" s="5">
        <v>163</v>
      </c>
      <c r="I276" s="6">
        <v>45763</v>
      </c>
      <c r="J276" s="2" t="s">
        <v>597</v>
      </c>
      <c r="K276" s="15">
        <f>PRODUCT(Table2[[#This Row],[Ticket Price]],Table2[[#This Row],[Passenger Count]])</f>
        <v>17115000</v>
      </c>
      <c r="L276" s="15">
        <f>Table2[[#This Row],[Revenue]]*(1-$O$2)</f>
        <v>15403500</v>
      </c>
    </row>
    <row r="277" spans="1:12" x14ac:dyDescent="0.35">
      <c r="A277" t="s">
        <v>272</v>
      </c>
      <c r="B277" t="s">
        <v>545</v>
      </c>
      <c r="C277" t="s">
        <v>584</v>
      </c>
      <c r="D277" s="2" t="s">
        <v>591</v>
      </c>
      <c r="E277" s="1" t="s">
        <v>592</v>
      </c>
      <c r="F277" s="3">
        <v>63</v>
      </c>
      <c r="G277" s="4">
        <v>35000</v>
      </c>
      <c r="H277" s="5">
        <v>78</v>
      </c>
      <c r="I277" s="6">
        <v>45830</v>
      </c>
      <c r="J277" s="2" t="s">
        <v>597</v>
      </c>
      <c r="K277" s="15">
        <f>PRODUCT(Table2[[#This Row],[Ticket Price]],Table2[[#This Row],[Passenger Count]])</f>
        <v>2730000</v>
      </c>
      <c r="L277" s="15">
        <f>Table2[[#This Row],[Revenue]]*(1-$O$2)</f>
        <v>2457000</v>
      </c>
    </row>
    <row r="278" spans="1:12" x14ac:dyDescent="0.35">
      <c r="A278" t="s">
        <v>273</v>
      </c>
      <c r="B278" t="s">
        <v>546</v>
      </c>
      <c r="C278" t="s">
        <v>586</v>
      </c>
      <c r="D278" s="2" t="s">
        <v>585</v>
      </c>
      <c r="E278" s="1" t="s">
        <v>592</v>
      </c>
      <c r="F278" s="3">
        <v>171</v>
      </c>
      <c r="G278" s="4">
        <v>140000</v>
      </c>
      <c r="H278" s="5">
        <v>141</v>
      </c>
      <c r="I278" s="6">
        <v>45738</v>
      </c>
      <c r="J278" s="2" t="s">
        <v>597</v>
      </c>
      <c r="K278" s="15">
        <f>PRODUCT(Table2[[#This Row],[Ticket Price]],Table2[[#This Row],[Passenger Count]])</f>
        <v>19740000</v>
      </c>
      <c r="L278" s="15">
        <f>Table2[[#This Row],[Revenue]]*(1-$O$2)</f>
        <v>17766000</v>
      </c>
    </row>
    <row r="279" spans="1:12" x14ac:dyDescent="0.35">
      <c r="A279" t="s">
        <v>274</v>
      </c>
      <c r="B279" t="s">
        <v>358</v>
      </c>
      <c r="C279" t="s">
        <v>585</v>
      </c>
      <c r="D279" s="2" t="s">
        <v>589</v>
      </c>
      <c r="E279" s="1" t="s">
        <v>596</v>
      </c>
      <c r="F279" s="3">
        <v>46</v>
      </c>
      <c r="G279" s="4">
        <v>35000</v>
      </c>
      <c r="H279" s="5">
        <v>163</v>
      </c>
      <c r="I279" s="6">
        <v>45718</v>
      </c>
      <c r="J279" s="2" t="s">
        <v>598</v>
      </c>
      <c r="K279" s="15">
        <f>PRODUCT(Table2[[#This Row],[Ticket Price]],Table2[[#This Row],[Passenger Count]])</f>
        <v>5705000</v>
      </c>
      <c r="L279" s="15">
        <f>Table2[[#This Row],[Revenue]]*(1-$O$2)</f>
        <v>5134500</v>
      </c>
    </row>
    <row r="280" spans="1:12" x14ac:dyDescent="0.35">
      <c r="A280" t="s">
        <v>275</v>
      </c>
      <c r="B280" t="s">
        <v>547</v>
      </c>
      <c r="C280" t="s">
        <v>584</v>
      </c>
      <c r="D280" s="2" t="s">
        <v>589</v>
      </c>
      <c r="E280" s="1" t="s">
        <v>596</v>
      </c>
      <c r="F280" s="3">
        <v>73</v>
      </c>
      <c r="G280" s="4">
        <v>140000</v>
      </c>
      <c r="H280" s="5">
        <v>158</v>
      </c>
      <c r="I280" s="6">
        <v>45761</v>
      </c>
      <c r="J280" s="2" t="s">
        <v>598</v>
      </c>
      <c r="K280" s="15">
        <f>PRODUCT(Table2[[#This Row],[Ticket Price]],Table2[[#This Row],[Passenger Count]])</f>
        <v>22120000</v>
      </c>
      <c r="L280" s="15">
        <f>Table2[[#This Row],[Revenue]]*(1-$O$2)</f>
        <v>19908000</v>
      </c>
    </row>
    <row r="281" spans="1:12" x14ac:dyDescent="0.35">
      <c r="A281" t="s">
        <v>276</v>
      </c>
      <c r="B281" t="s">
        <v>476</v>
      </c>
      <c r="C281" t="s">
        <v>584</v>
      </c>
      <c r="D281" s="2" t="s">
        <v>587</v>
      </c>
      <c r="E281" s="1" t="s">
        <v>596</v>
      </c>
      <c r="F281" s="3">
        <v>173</v>
      </c>
      <c r="G281" s="4">
        <v>120000</v>
      </c>
      <c r="H281" s="5">
        <v>65</v>
      </c>
      <c r="I281" s="6">
        <v>45698</v>
      </c>
      <c r="J281" s="2" t="s">
        <v>597</v>
      </c>
      <c r="K281" s="15">
        <f>PRODUCT(Table2[[#This Row],[Ticket Price]],Table2[[#This Row],[Passenger Count]])</f>
        <v>7800000</v>
      </c>
      <c r="L281" s="15">
        <f>Table2[[#This Row],[Revenue]]*(1-$O$2)</f>
        <v>7020000</v>
      </c>
    </row>
    <row r="282" spans="1:12" x14ac:dyDescent="0.35">
      <c r="A282" t="s">
        <v>277</v>
      </c>
      <c r="B282" t="s">
        <v>548</v>
      </c>
      <c r="C282" t="s">
        <v>583</v>
      </c>
      <c r="D282" s="2" t="s">
        <v>585</v>
      </c>
      <c r="E282" s="1" t="s">
        <v>595</v>
      </c>
      <c r="F282" s="3">
        <v>174</v>
      </c>
      <c r="G282" s="4">
        <v>115000</v>
      </c>
      <c r="H282" s="5">
        <v>162</v>
      </c>
      <c r="I282" s="6">
        <v>45670</v>
      </c>
      <c r="J282" s="2" t="s">
        <v>597</v>
      </c>
      <c r="K282" s="15">
        <f>PRODUCT(Table2[[#This Row],[Ticket Price]],Table2[[#This Row],[Passenger Count]])</f>
        <v>18630000</v>
      </c>
      <c r="L282" s="15">
        <f>Table2[[#This Row],[Revenue]]*(1-$O$2)</f>
        <v>16767000</v>
      </c>
    </row>
    <row r="283" spans="1:12" x14ac:dyDescent="0.35">
      <c r="A283" t="s">
        <v>278</v>
      </c>
      <c r="B283" t="s">
        <v>443</v>
      </c>
      <c r="C283" t="s">
        <v>588</v>
      </c>
      <c r="D283" s="2" t="s">
        <v>585</v>
      </c>
      <c r="E283" s="1" t="s">
        <v>592</v>
      </c>
      <c r="F283" s="3">
        <v>-4</v>
      </c>
      <c r="G283" s="4">
        <v>25000</v>
      </c>
      <c r="H283" s="5">
        <v>92</v>
      </c>
      <c r="I283" s="6">
        <v>45755</v>
      </c>
      <c r="J283" s="2" t="s">
        <v>597</v>
      </c>
      <c r="K283" s="15">
        <f>PRODUCT(Table2[[#This Row],[Ticket Price]],Table2[[#This Row],[Passenger Count]])</f>
        <v>2300000</v>
      </c>
      <c r="L283" s="15">
        <f>Table2[[#This Row],[Revenue]]*(1-$O$2)</f>
        <v>2070000</v>
      </c>
    </row>
    <row r="284" spans="1:12" x14ac:dyDescent="0.35">
      <c r="A284" t="s">
        <v>279</v>
      </c>
      <c r="B284" t="s">
        <v>549</v>
      </c>
      <c r="C284" t="s">
        <v>581</v>
      </c>
      <c r="D284" s="2" t="s">
        <v>582</v>
      </c>
      <c r="E284" s="1" t="s">
        <v>594</v>
      </c>
      <c r="F284" s="3">
        <v>107</v>
      </c>
      <c r="G284" s="4">
        <v>55000</v>
      </c>
      <c r="H284" s="5">
        <v>86</v>
      </c>
      <c r="I284" s="6">
        <v>45810</v>
      </c>
      <c r="J284" s="2" t="s">
        <v>598</v>
      </c>
      <c r="K284" s="15">
        <f>PRODUCT(Table2[[#This Row],[Ticket Price]],Table2[[#This Row],[Passenger Count]])</f>
        <v>4730000</v>
      </c>
      <c r="L284" s="15">
        <f>Table2[[#This Row],[Revenue]]*(1-$O$2)</f>
        <v>4257000</v>
      </c>
    </row>
    <row r="285" spans="1:12" x14ac:dyDescent="0.35">
      <c r="A285" t="s">
        <v>280</v>
      </c>
      <c r="B285" t="s">
        <v>550</v>
      </c>
      <c r="C285" t="s">
        <v>588</v>
      </c>
      <c r="D285" s="2" t="s">
        <v>587</v>
      </c>
      <c r="E285" s="1" t="s">
        <v>595</v>
      </c>
      <c r="F285" s="3">
        <v>177</v>
      </c>
      <c r="G285" s="4">
        <v>110000</v>
      </c>
      <c r="H285" s="5">
        <v>123</v>
      </c>
      <c r="I285" s="6">
        <v>45734</v>
      </c>
      <c r="J285" s="2" t="s">
        <v>598</v>
      </c>
      <c r="K285" s="15">
        <f>PRODUCT(Table2[[#This Row],[Ticket Price]],Table2[[#This Row],[Passenger Count]])</f>
        <v>13530000</v>
      </c>
      <c r="L285" s="15">
        <f>Table2[[#This Row],[Revenue]]*(1-$O$2)</f>
        <v>12177000</v>
      </c>
    </row>
    <row r="286" spans="1:12" x14ac:dyDescent="0.35">
      <c r="A286" t="s">
        <v>281</v>
      </c>
      <c r="B286" t="s">
        <v>551</v>
      </c>
      <c r="C286" t="s">
        <v>585</v>
      </c>
      <c r="D286" s="2" t="s">
        <v>587</v>
      </c>
      <c r="E286" s="1" t="s">
        <v>592</v>
      </c>
      <c r="F286" s="3">
        <v>59</v>
      </c>
      <c r="G286" s="4">
        <v>30000</v>
      </c>
      <c r="H286" s="5">
        <v>165</v>
      </c>
      <c r="I286" s="6">
        <v>45829</v>
      </c>
      <c r="J286" s="2" t="s">
        <v>597</v>
      </c>
      <c r="K286" s="15">
        <f>PRODUCT(Table2[[#This Row],[Ticket Price]],Table2[[#This Row],[Passenger Count]])</f>
        <v>4950000</v>
      </c>
      <c r="L286" s="15">
        <f>Table2[[#This Row],[Revenue]]*(1-$O$2)</f>
        <v>4455000</v>
      </c>
    </row>
    <row r="287" spans="1:12" x14ac:dyDescent="0.35">
      <c r="A287" t="s">
        <v>282</v>
      </c>
      <c r="B287" t="s">
        <v>552</v>
      </c>
      <c r="C287" t="s">
        <v>581</v>
      </c>
      <c r="D287" s="2" t="s">
        <v>591</v>
      </c>
      <c r="E287" s="1" t="s">
        <v>594</v>
      </c>
      <c r="F287" s="3">
        <v>102</v>
      </c>
      <c r="G287" s="4">
        <v>70000</v>
      </c>
      <c r="H287" s="5">
        <v>74</v>
      </c>
      <c r="I287" s="6">
        <v>45675</v>
      </c>
      <c r="J287" s="2" t="s">
        <v>598</v>
      </c>
      <c r="K287" s="15">
        <f>PRODUCT(Table2[[#This Row],[Ticket Price]],Table2[[#This Row],[Passenger Count]])</f>
        <v>5180000</v>
      </c>
      <c r="L287" s="15">
        <f>Table2[[#This Row],[Revenue]]*(1-$O$2)</f>
        <v>4662000</v>
      </c>
    </row>
    <row r="288" spans="1:12" x14ac:dyDescent="0.35">
      <c r="A288" t="s">
        <v>283</v>
      </c>
      <c r="B288" t="s">
        <v>353</v>
      </c>
      <c r="C288" t="s">
        <v>581</v>
      </c>
      <c r="D288" s="2" t="s">
        <v>584</v>
      </c>
      <c r="E288" s="1" t="s">
        <v>592</v>
      </c>
      <c r="F288" s="3">
        <v>106</v>
      </c>
      <c r="G288" s="4">
        <v>50000</v>
      </c>
      <c r="H288" s="5">
        <v>97</v>
      </c>
      <c r="I288" s="6">
        <v>45713</v>
      </c>
      <c r="J288" s="2" t="s">
        <v>598</v>
      </c>
      <c r="K288" s="15">
        <f>PRODUCT(Table2[[#This Row],[Ticket Price]],Table2[[#This Row],[Passenger Count]])</f>
        <v>4850000</v>
      </c>
      <c r="L288" s="15">
        <f>Table2[[#This Row],[Revenue]]*(1-$O$2)</f>
        <v>4365000</v>
      </c>
    </row>
    <row r="289" spans="1:12" x14ac:dyDescent="0.35">
      <c r="A289" t="s">
        <v>284</v>
      </c>
      <c r="B289" t="s">
        <v>553</v>
      </c>
      <c r="C289" t="s">
        <v>583</v>
      </c>
      <c r="D289" s="2" t="s">
        <v>587</v>
      </c>
      <c r="E289" s="1" t="s">
        <v>596</v>
      </c>
      <c r="F289" s="3">
        <v>25</v>
      </c>
      <c r="G289" s="4">
        <v>120000</v>
      </c>
      <c r="H289" s="5">
        <v>132</v>
      </c>
      <c r="I289" s="6">
        <v>45834</v>
      </c>
      <c r="J289" s="2" t="s">
        <v>598</v>
      </c>
      <c r="K289" s="15">
        <f>PRODUCT(Table2[[#This Row],[Ticket Price]],Table2[[#This Row],[Passenger Count]])</f>
        <v>15840000</v>
      </c>
      <c r="L289" s="15">
        <f>Table2[[#This Row],[Revenue]]*(1-$O$2)</f>
        <v>14256000</v>
      </c>
    </row>
    <row r="290" spans="1:12" x14ac:dyDescent="0.35">
      <c r="A290" t="s">
        <v>285</v>
      </c>
      <c r="B290" t="s">
        <v>554</v>
      </c>
      <c r="C290" t="s">
        <v>583</v>
      </c>
      <c r="D290" s="2" t="s">
        <v>587</v>
      </c>
      <c r="E290" s="1" t="s">
        <v>596</v>
      </c>
      <c r="F290" s="3">
        <v>90</v>
      </c>
      <c r="G290" s="4">
        <v>35000</v>
      </c>
      <c r="H290" s="5">
        <v>79</v>
      </c>
      <c r="I290" s="6">
        <v>45662</v>
      </c>
      <c r="J290" s="2" t="s">
        <v>597</v>
      </c>
      <c r="K290" s="15">
        <f>PRODUCT(Table2[[#This Row],[Ticket Price]],Table2[[#This Row],[Passenger Count]])</f>
        <v>2765000</v>
      </c>
      <c r="L290" s="15">
        <f>Table2[[#This Row],[Revenue]]*(1-$O$2)</f>
        <v>2488500</v>
      </c>
    </row>
    <row r="291" spans="1:12" x14ac:dyDescent="0.35">
      <c r="A291" t="s">
        <v>286</v>
      </c>
      <c r="B291" t="s">
        <v>555</v>
      </c>
      <c r="C291" t="s">
        <v>581</v>
      </c>
      <c r="D291" s="2" t="s">
        <v>584</v>
      </c>
      <c r="E291" s="1" t="s">
        <v>593</v>
      </c>
      <c r="F291" s="3">
        <v>54</v>
      </c>
      <c r="G291" s="4">
        <v>125000</v>
      </c>
      <c r="H291" s="5">
        <v>128</v>
      </c>
      <c r="I291" s="6">
        <v>45696</v>
      </c>
      <c r="J291" s="2" t="s">
        <v>597</v>
      </c>
      <c r="K291" s="15">
        <f>PRODUCT(Table2[[#This Row],[Ticket Price]],Table2[[#This Row],[Passenger Count]])</f>
        <v>16000000</v>
      </c>
      <c r="L291" s="15">
        <f>Table2[[#This Row],[Revenue]]*(1-$O$2)</f>
        <v>14400000</v>
      </c>
    </row>
    <row r="292" spans="1:12" x14ac:dyDescent="0.35">
      <c r="A292" t="s">
        <v>287</v>
      </c>
      <c r="B292" t="s">
        <v>468</v>
      </c>
      <c r="C292" t="s">
        <v>581</v>
      </c>
      <c r="D292" s="2" t="s">
        <v>583</v>
      </c>
      <c r="E292" s="1" t="s">
        <v>594</v>
      </c>
      <c r="F292" s="3">
        <v>29</v>
      </c>
      <c r="G292" s="4">
        <v>100000</v>
      </c>
      <c r="H292" s="5">
        <v>100</v>
      </c>
      <c r="I292" s="6">
        <v>45818</v>
      </c>
      <c r="J292" s="2" t="s">
        <v>597</v>
      </c>
      <c r="K292" s="15">
        <f>PRODUCT(Table2[[#This Row],[Ticket Price]],Table2[[#This Row],[Passenger Count]])</f>
        <v>10000000</v>
      </c>
      <c r="L292" s="15">
        <f>Table2[[#This Row],[Revenue]]*(1-$O$2)</f>
        <v>9000000</v>
      </c>
    </row>
    <row r="293" spans="1:12" x14ac:dyDescent="0.35">
      <c r="A293" t="s">
        <v>288</v>
      </c>
      <c r="B293" t="s">
        <v>461</v>
      </c>
      <c r="C293" t="s">
        <v>585</v>
      </c>
      <c r="D293" s="2" t="s">
        <v>590</v>
      </c>
      <c r="E293" s="1" t="s">
        <v>594</v>
      </c>
      <c r="F293" s="3">
        <v>64</v>
      </c>
      <c r="G293" s="4">
        <v>55000</v>
      </c>
      <c r="H293" s="5">
        <v>128</v>
      </c>
      <c r="I293" s="6">
        <v>45781</v>
      </c>
      <c r="J293" s="2" t="s">
        <v>597</v>
      </c>
      <c r="K293" s="15">
        <f>PRODUCT(Table2[[#This Row],[Ticket Price]],Table2[[#This Row],[Passenger Count]])</f>
        <v>7040000</v>
      </c>
      <c r="L293" s="15">
        <f>Table2[[#This Row],[Revenue]]*(1-$O$2)</f>
        <v>6336000</v>
      </c>
    </row>
    <row r="294" spans="1:12" x14ac:dyDescent="0.35">
      <c r="A294" t="s">
        <v>289</v>
      </c>
      <c r="B294" t="s">
        <v>556</v>
      </c>
      <c r="C294" t="s">
        <v>586</v>
      </c>
      <c r="D294" s="2" t="s">
        <v>582</v>
      </c>
      <c r="E294" s="1" t="s">
        <v>594</v>
      </c>
      <c r="F294" s="3">
        <v>66</v>
      </c>
      <c r="G294" s="4">
        <v>110000</v>
      </c>
      <c r="H294" s="5">
        <v>161</v>
      </c>
      <c r="I294" s="6">
        <v>45737</v>
      </c>
      <c r="J294" s="2" t="s">
        <v>597</v>
      </c>
      <c r="K294" s="15">
        <f>PRODUCT(Table2[[#This Row],[Ticket Price]],Table2[[#This Row],[Passenger Count]])</f>
        <v>17710000</v>
      </c>
      <c r="L294" s="15">
        <f>Table2[[#This Row],[Revenue]]*(1-$O$2)</f>
        <v>15939000</v>
      </c>
    </row>
    <row r="295" spans="1:12" x14ac:dyDescent="0.35">
      <c r="A295" t="s">
        <v>290</v>
      </c>
      <c r="B295" t="s">
        <v>557</v>
      </c>
      <c r="C295" t="s">
        <v>585</v>
      </c>
      <c r="D295" s="2" t="s">
        <v>584</v>
      </c>
      <c r="E295" s="1" t="s">
        <v>593</v>
      </c>
      <c r="F295" s="3">
        <v>21</v>
      </c>
      <c r="G295" s="4">
        <v>90000</v>
      </c>
      <c r="H295" s="5">
        <v>126</v>
      </c>
      <c r="I295" s="6">
        <v>45833</v>
      </c>
      <c r="J295" s="2" t="s">
        <v>598</v>
      </c>
      <c r="K295" s="15">
        <f>PRODUCT(Table2[[#This Row],[Ticket Price]],Table2[[#This Row],[Passenger Count]])</f>
        <v>11340000</v>
      </c>
      <c r="L295" s="15">
        <f>Table2[[#This Row],[Revenue]]*(1-$O$2)</f>
        <v>10206000</v>
      </c>
    </row>
    <row r="296" spans="1:12" x14ac:dyDescent="0.35">
      <c r="A296" t="s">
        <v>291</v>
      </c>
      <c r="B296" t="s">
        <v>558</v>
      </c>
      <c r="C296" t="s">
        <v>584</v>
      </c>
      <c r="D296" s="2" t="s">
        <v>583</v>
      </c>
      <c r="E296" s="1" t="s">
        <v>596</v>
      </c>
      <c r="F296" s="3">
        <v>132</v>
      </c>
      <c r="G296" s="4">
        <v>115000</v>
      </c>
      <c r="H296" s="5">
        <v>170</v>
      </c>
      <c r="I296" s="6">
        <v>45798</v>
      </c>
      <c r="J296" s="2" t="s">
        <v>598</v>
      </c>
      <c r="K296" s="15">
        <f>PRODUCT(Table2[[#This Row],[Ticket Price]],Table2[[#This Row],[Passenger Count]])</f>
        <v>19550000</v>
      </c>
      <c r="L296" s="15">
        <f>Table2[[#This Row],[Revenue]]*(1-$O$2)</f>
        <v>17595000</v>
      </c>
    </row>
    <row r="297" spans="1:12" x14ac:dyDescent="0.35">
      <c r="A297" t="s">
        <v>292</v>
      </c>
      <c r="B297" t="s">
        <v>434</v>
      </c>
      <c r="C297" t="s">
        <v>587</v>
      </c>
      <c r="D297" s="2" t="s">
        <v>585</v>
      </c>
      <c r="E297" s="1" t="s">
        <v>592</v>
      </c>
      <c r="F297" s="3">
        <v>177</v>
      </c>
      <c r="G297" s="4">
        <v>30000</v>
      </c>
      <c r="H297" s="5">
        <v>168</v>
      </c>
      <c r="I297" s="6">
        <v>45724</v>
      </c>
      <c r="J297" s="2" t="s">
        <v>598</v>
      </c>
      <c r="K297" s="15">
        <f>PRODUCT(Table2[[#This Row],[Ticket Price]],Table2[[#This Row],[Passenger Count]])</f>
        <v>5040000</v>
      </c>
      <c r="L297" s="15">
        <f>Table2[[#This Row],[Revenue]]*(1-$O$2)</f>
        <v>4536000</v>
      </c>
    </row>
    <row r="298" spans="1:12" x14ac:dyDescent="0.35">
      <c r="A298" t="s">
        <v>293</v>
      </c>
      <c r="B298" t="s">
        <v>362</v>
      </c>
      <c r="C298" t="s">
        <v>587</v>
      </c>
      <c r="D298" s="2" t="s">
        <v>582</v>
      </c>
      <c r="E298" s="1" t="s">
        <v>593</v>
      </c>
      <c r="F298" s="3">
        <v>-3</v>
      </c>
      <c r="G298" s="4">
        <v>65000</v>
      </c>
      <c r="H298" s="5">
        <v>170</v>
      </c>
      <c r="I298" s="6">
        <v>45713</v>
      </c>
      <c r="J298" s="2" t="s">
        <v>597</v>
      </c>
      <c r="K298" s="15">
        <f>PRODUCT(Table2[[#This Row],[Ticket Price]],Table2[[#This Row],[Passenger Count]])</f>
        <v>11050000</v>
      </c>
      <c r="L298" s="15">
        <f>Table2[[#This Row],[Revenue]]*(1-$O$2)</f>
        <v>9945000</v>
      </c>
    </row>
    <row r="299" spans="1:12" x14ac:dyDescent="0.35">
      <c r="A299" t="s">
        <v>294</v>
      </c>
      <c r="B299" t="s">
        <v>559</v>
      </c>
      <c r="C299" t="s">
        <v>586</v>
      </c>
      <c r="D299" s="2" t="s">
        <v>589</v>
      </c>
      <c r="E299" s="1" t="s">
        <v>594</v>
      </c>
      <c r="F299" s="3">
        <v>51</v>
      </c>
      <c r="G299" s="4">
        <v>60000</v>
      </c>
      <c r="H299" s="5">
        <v>84</v>
      </c>
      <c r="I299" s="6">
        <v>45735</v>
      </c>
      <c r="J299" s="2" t="s">
        <v>598</v>
      </c>
      <c r="K299" s="15">
        <f>PRODUCT(Table2[[#This Row],[Ticket Price]],Table2[[#This Row],[Passenger Count]])</f>
        <v>5040000</v>
      </c>
      <c r="L299" s="15">
        <f>Table2[[#This Row],[Revenue]]*(1-$O$2)</f>
        <v>4536000</v>
      </c>
    </row>
    <row r="300" spans="1:12" x14ac:dyDescent="0.35">
      <c r="A300" t="s">
        <v>295</v>
      </c>
      <c r="B300" t="s">
        <v>358</v>
      </c>
      <c r="C300" t="s">
        <v>584</v>
      </c>
      <c r="D300" s="2" t="s">
        <v>591</v>
      </c>
      <c r="E300" s="1" t="s">
        <v>594</v>
      </c>
      <c r="F300" s="3">
        <v>138</v>
      </c>
      <c r="G300" s="4">
        <v>35000</v>
      </c>
      <c r="H300" s="5">
        <v>135</v>
      </c>
      <c r="I300" s="6">
        <v>45833</v>
      </c>
      <c r="J300" s="2" t="s">
        <v>597</v>
      </c>
      <c r="K300" s="15">
        <f>PRODUCT(Table2[[#This Row],[Ticket Price]],Table2[[#This Row],[Passenger Count]])</f>
        <v>4725000</v>
      </c>
      <c r="L300" s="15">
        <f>Table2[[#This Row],[Revenue]]*(1-$O$2)</f>
        <v>4252500</v>
      </c>
    </row>
    <row r="301" spans="1:12" x14ac:dyDescent="0.35">
      <c r="A301" t="s">
        <v>296</v>
      </c>
      <c r="B301" t="s">
        <v>560</v>
      </c>
      <c r="C301" t="s">
        <v>585</v>
      </c>
      <c r="D301" s="2" t="s">
        <v>591</v>
      </c>
      <c r="E301" s="1" t="s">
        <v>592</v>
      </c>
      <c r="F301" s="3">
        <v>22</v>
      </c>
      <c r="G301" s="4">
        <v>100000</v>
      </c>
      <c r="H301" s="5">
        <v>117</v>
      </c>
      <c r="I301" s="6">
        <v>45776</v>
      </c>
      <c r="J301" s="2" t="s">
        <v>597</v>
      </c>
      <c r="K301" s="15">
        <f>PRODUCT(Table2[[#This Row],[Ticket Price]],Table2[[#This Row],[Passenger Count]])</f>
        <v>11700000</v>
      </c>
      <c r="L301" s="15">
        <f>Table2[[#This Row],[Revenue]]*(1-$O$2)</f>
        <v>10530000</v>
      </c>
    </row>
    <row r="302" spans="1:12" x14ac:dyDescent="0.35">
      <c r="A302" t="s">
        <v>297</v>
      </c>
      <c r="B302" t="s">
        <v>425</v>
      </c>
      <c r="C302" t="s">
        <v>583</v>
      </c>
      <c r="D302" s="2" t="s">
        <v>591</v>
      </c>
      <c r="E302" s="1" t="s">
        <v>595</v>
      </c>
      <c r="F302" s="3">
        <v>126</v>
      </c>
      <c r="G302" s="4">
        <v>75000</v>
      </c>
      <c r="H302" s="5">
        <v>83</v>
      </c>
      <c r="I302" s="6">
        <v>45696</v>
      </c>
      <c r="J302" s="2" t="s">
        <v>597</v>
      </c>
      <c r="K302" s="15">
        <f>PRODUCT(Table2[[#This Row],[Ticket Price]],Table2[[#This Row],[Passenger Count]])</f>
        <v>6225000</v>
      </c>
      <c r="L302" s="15">
        <f>Table2[[#This Row],[Revenue]]*(1-$O$2)</f>
        <v>5602500</v>
      </c>
    </row>
    <row r="303" spans="1:12" x14ac:dyDescent="0.35">
      <c r="A303" t="s">
        <v>298</v>
      </c>
      <c r="B303" t="s">
        <v>561</v>
      </c>
      <c r="C303" t="s">
        <v>584</v>
      </c>
      <c r="D303" s="2" t="s">
        <v>583</v>
      </c>
      <c r="E303" s="1" t="s">
        <v>592</v>
      </c>
      <c r="F303" s="3">
        <v>74</v>
      </c>
      <c r="G303" s="4">
        <v>55000</v>
      </c>
      <c r="H303" s="5">
        <v>156</v>
      </c>
      <c r="I303" s="6">
        <v>45773</v>
      </c>
      <c r="J303" s="2" t="s">
        <v>597</v>
      </c>
      <c r="K303" s="15">
        <f>PRODUCT(Table2[[#This Row],[Ticket Price]],Table2[[#This Row],[Passenger Count]])</f>
        <v>8580000</v>
      </c>
      <c r="L303" s="15">
        <f>Table2[[#This Row],[Revenue]]*(1-$O$2)</f>
        <v>7722000</v>
      </c>
    </row>
    <row r="304" spans="1:12" x14ac:dyDescent="0.35">
      <c r="A304" t="s">
        <v>299</v>
      </c>
      <c r="B304" t="s">
        <v>562</v>
      </c>
      <c r="C304" t="s">
        <v>587</v>
      </c>
      <c r="D304" s="2" t="s">
        <v>590</v>
      </c>
      <c r="E304" s="1" t="s">
        <v>596</v>
      </c>
      <c r="F304" s="3">
        <v>56</v>
      </c>
      <c r="G304" s="4">
        <v>145000</v>
      </c>
      <c r="H304" s="5">
        <v>133</v>
      </c>
      <c r="I304" s="6">
        <v>45824</v>
      </c>
      <c r="J304" s="2" t="s">
        <v>598</v>
      </c>
      <c r="K304" s="15">
        <f>PRODUCT(Table2[[#This Row],[Ticket Price]],Table2[[#This Row],[Passenger Count]])</f>
        <v>19285000</v>
      </c>
      <c r="L304" s="15">
        <f>Table2[[#This Row],[Revenue]]*(1-$O$2)</f>
        <v>17356500</v>
      </c>
    </row>
    <row r="305" spans="1:12" x14ac:dyDescent="0.35">
      <c r="A305" t="s">
        <v>300</v>
      </c>
      <c r="B305" t="s">
        <v>468</v>
      </c>
      <c r="C305" t="s">
        <v>587</v>
      </c>
      <c r="D305" s="2" t="s">
        <v>589</v>
      </c>
      <c r="E305" s="1" t="s">
        <v>594</v>
      </c>
      <c r="F305" s="3">
        <v>138</v>
      </c>
      <c r="G305" s="4">
        <v>90000</v>
      </c>
      <c r="H305" s="5">
        <v>144</v>
      </c>
      <c r="I305" s="6">
        <v>45675</v>
      </c>
      <c r="J305" s="2" t="s">
        <v>598</v>
      </c>
      <c r="K305" s="15">
        <f>PRODUCT(Table2[[#This Row],[Ticket Price]],Table2[[#This Row],[Passenger Count]])</f>
        <v>12960000</v>
      </c>
      <c r="L305" s="15">
        <f>Table2[[#This Row],[Revenue]]*(1-$O$2)</f>
        <v>11664000</v>
      </c>
    </row>
    <row r="306" spans="1:12" x14ac:dyDescent="0.35">
      <c r="A306" t="s">
        <v>301</v>
      </c>
      <c r="B306" t="s">
        <v>436</v>
      </c>
      <c r="C306" t="s">
        <v>586</v>
      </c>
      <c r="D306" s="2" t="s">
        <v>590</v>
      </c>
      <c r="E306" s="1" t="s">
        <v>595</v>
      </c>
      <c r="F306" s="3">
        <v>81</v>
      </c>
      <c r="G306" s="4">
        <v>125000</v>
      </c>
      <c r="H306" s="5">
        <v>129</v>
      </c>
      <c r="I306" s="6">
        <v>45767</v>
      </c>
      <c r="J306" s="2" t="s">
        <v>597</v>
      </c>
      <c r="K306" s="15">
        <f>PRODUCT(Table2[[#This Row],[Ticket Price]],Table2[[#This Row],[Passenger Count]])</f>
        <v>16125000</v>
      </c>
      <c r="L306" s="15">
        <f>Table2[[#This Row],[Revenue]]*(1-$O$2)</f>
        <v>14512500</v>
      </c>
    </row>
    <row r="307" spans="1:12" x14ac:dyDescent="0.35">
      <c r="A307" t="s">
        <v>302</v>
      </c>
      <c r="B307" t="s">
        <v>563</v>
      </c>
      <c r="C307" t="s">
        <v>587</v>
      </c>
      <c r="D307" s="2" t="s">
        <v>584</v>
      </c>
      <c r="E307" s="1" t="s">
        <v>593</v>
      </c>
      <c r="F307" s="3">
        <v>103</v>
      </c>
      <c r="G307" s="4">
        <v>150000</v>
      </c>
      <c r="H307" s="5">
        <v>126</v>
      </c>
      <c r="I307" s="6">
        <v>45735</v>
      </c>
      <c r="J307" s="2" t="s">
        <v>598</v>
      </c>
      <c r="K307" s="15">
        <f>PRODUCT(Table2[[#This Row],[Ticket Price]],Table2[[#This Row],[Passenger Count]])</f>
        <v>18900000</v>
      </c>
      <c r="L307" s="15">
        <f>Table2[[#This Row],[Revenue]]*(1-$O$2)</f>
        <v>17010000</v>
      </c>
    </row>
    <row r="308" spans="1:12" x14ac:dyDescent="0.35">
      <c r="A308" t="s">
        <v>303</v>
      </c>
      <c r="B308" t="s">
        <v>564</v>
      </c>
      <c r="C308" t="s">
        <v>587</v>
      </c>
      <c r="D308" s="2" t="s">
        <v>585</v>
      </c>
      <c r="E308" s="1" t="s">
        <v>596</v>
      </c>
      <c r="F308" s="3">
        <v>175</v>
      </c>
      <c r="G308" s="4">
        <v>140000</v>
      </c>
      <c r="H308" s="5">
        <v>70</v>
      </c>
      <c r="I308" s="6">
        <v>45811</v>
      </c>
      <c r="J308" s="2" t="s">
        <v>598</v>
      </c>
      <c r="K308" s="15">
        <f>PRODUCT(Table2[[#This Row],[Ticket Price]],Table2[[#This Row],[Passenger Count]])</f>
        <v>9800000</v>
      </c>
      <c r="L308" s="15">
        <f>Table2[[#This Row],[Revenue]]*(1-$O$2)</f>
        <v>8820000</v>
      </c>
    </row>
    <row r="309" spans="1:12" x14ac:dyDescent="0.35">
      <c r="A309" t="s">
        <v>304</v>
      </c>
      <c r="B309" t="s">
        <v>540</v>
      </c>
      <c r="C309" t="s">
        <v>584</v>
      </c>
      <c r="D309" s="2" t="s">
        <v>589</v>
      </c>
      <c r="E309" s="1" t="s">
        <v>593</v>
      </c>
      <c r="F309" s="3">
        <v>133</v>
      </c>
      <c r="G309" s="4">
        <v>115000</v>
      </c>
      <c r="H309" s="5">
        <v>107</v>
      </c>
      <c r="I309" s="6">
        <v>45820</v>
      </c>
      <c r="J309" s="2" t="s">
        <v>598</v>
      </c>
      <c r="K309" s="15">
        <f>PRODUCT(Table2[[#This Row],[Ticket Price]],Table2[[#This Row],[Passenger Count]])</f>
        <v>12305000</v>
      </c>
      <c r="L309" s="15">
        <f>Table2[[#This Row],[Revenue]]*(1-$O$2)</f>
        <v>11074500</v>
      </c>
    </row>
    <row r="310" spans="1:12" x14ac:dyDescent="0.35">
      <c r="A310" t="s">
        <v>305</v>
      </c>
      <c r="B310" t="s">
        <v>565</v>
      </c>
      <c r="C310" t="s">
        <v>583</v>
      </c>
      <c r="D310" s="2" t="s">
        <v>590</v>
      </c>
      <c r="E310" s="1" t="s">
        <v>594</v>
      </c>
      <c r="F310" s="3">
        <v>176</v>
      </c>
      <c r="G310" s="4">
        <v>110000</v>
      </c>
      <c r="H310" s="5">
        <v>114</v>
      </c>
      <c r="I310" s="6">
        <v>45829</v>
      </c>
      <c r="J310" s="2" t="s">
        <v>598</v>
      </c>
      <c r="K310" s="15">
        <f>PRODUCT(Table2[[#This Row],[Ticket Price]],Table2[[#This Row],[Passenger Count]])</f>
        <v>12540000</v>
      </c>
      <c r="L310" s="15">
        <f>Table2[[#This Row],[Revenue]]*(1-$O$2)</f>
        <v>11286000</v>
      </c>
    </row>
    <row r="311" spans="1:12" x14ac:dyDescent="0.35">
      <c r="A311" t="s">
        <v>306</v>
      </c>
      <c r="B311" t="s">
        <v>428</v>
      </c>
      <c r="C311" t="s">
        <v>587</v>
      </c>
      <c r="D311" s="2" t="s">
        <v>583</v>
      </c>
      <c r="E311" s="1" t="s">
        <v>595</v>
      </c>
      <c r="F311" s="3">
        <v>147</v>
      </c>
      <c r="G311" s="4">
        <v>60000</v>
      </c>
      <c r="H311" s="5">
        <v>83</v>
      </c>
      <c r="I311" s="6">
        <v>45690</v>
      </c>
      <c r="J311" s="2" t="s">
        <v>597</v>
      </c>
      <c r="K311" s="15">
        <f>PRODUCT(Table2[[#This Row],[Ticket Price]],Table2[[#This Row],[Passenger Count]])</f>
        <v>4980000</v>
      </c>
      <c r="L311" s="15">
        <f>Table2[[#This Row],[Revenue]]*(1-$O$2)</f>
        <v>4482000</v>
      </c>
    </row>
    <row r="312" spans="1:12" x14ac:dyDescent="0.35">
      <c r="A312" t="s">
        <v>307</v>
      </c>
      <c r="B312" t="s">
        <v>439</v>
      </c>
      <c r="C312" t="s">
        <v>588</v>
      </c>
      <c r="D312" s="2" t="s">
        <v>583</v>
      </c>
      <c r="E312" s="1" t="s">
        <v>593</v>
      </c>
      <c r="F312" s="3">
        <v>123</v>
      </c>
      <c r="G312" s="4">
        <v>60000</v>
      </c>
      <c r="H312" s="5">
        <v>171</v>
      </c>
      <c r="I312" s="6">
        <v>45731</v>
      </c>
      <c r="J312" s="2" t="s">
        <v>597</v>
      </c>
      <c r="K312" s="15">
        <f>PRODUCT(Table2[[#This Row],[Ticket Price]],Table2[[#This Row],[Passenger Count]])</f>
        <v>10260000</v>
      </c>
      <c r="L312" s="15">
        <f>Table2[[#This Row],[Revenue]]*(1-$O$2)</f>
        <v>9234000</v>
      </c>
    </row>
    <row r="313" spans="1:12" x14ac:dyDescent="0.35">
      <c r="A313" t="s">
        <v>308</v>
      </c>
      <c r="B313" t="s">
        <v>465</v>
      </c>
      <c r="C313" t="s">
        <v>583</v>
      </c>
      <c r="D313" s="2" t="s">
        <v>585</v>
      </c>
      <c r="E313" s="1" t="s">
        <v>593</v>
      </c>
      <c r="F313" s="3">
        <v>102</v>
      </c>
      <c r="G313" s="4">
        <v>115000</v>
      </c>
      <c r="H313" s="5">
        <v>92</v>
      </c>
      <c r="I313" s="6">
        <v>45669</v>
      </c>
      <c r="J313" s="2" t="s">
        <v>597</v>
      </c>
      <c r="K313" s="15">
        <f>PRODUCT(Table2[[#This Row],[Ticket Price]],Table2[[#This Row],[Passenger Count]])</f>
        <v>10580000</v>
      </c>
      <c r="L313" s="15">
        <f>Table2[[#This Row],[Revenue]]*(1-$O$2)</f>
        <v>9522000</v>
      </c>
    </row>
    <row r="314" spans="1:12" x14ac:dyDescent="0.35">
      <c r="A314" t="s">
        <v>309</v>
      </c>
      <c r="B314" t="s">
        <v>482</v>
      </c>
      <c r="C314" t="s">
        <v>583</v>
      </c>
      <c r="D314" s="2" t="s">
        <v>582</v>
      </c>
      <c r="E314" s="1" t="s">
        <v>596</v>
      </c>
      <c r="F314" s="3">
        <v>47</v>
      </c>
      <c r="G314" s="4">
        <v>85000</v>
      </c>
      <c r="H314" s="5">
        <v>156</v>
      </c>
      <c r="I314" s="6">
        <v>45726</v>
      </c>
      <c r="J314" s="2" t="s">
        <v>597</v>
      </c>
      <c r="K314" s="15">
        <f>PRODUCT(Table2[[#This Row],[Ticket Price]],Table2[[#This Row],[Passenger Count]])</f>
        <v>13260000</v>
      </c>
      <c r="L314" s="15">
        <f>Table2[[#This Row],[Revenue]]*(1-$O$2)</f>
        <v>11934000</v>
      </c>
    </row>
    <row r="315" spans="1:12" x14ac:dyDescent="0.35">
      <c r="A315" t="s">
        <v>310</v>
      </c>
      <c r="B315" t="s">
        <v>415</v>
      </c>
      <c r="C315" t="s">
        <v>583</v>
      </c>
      <c r="D315" s="2" t="s">
        <v>587</v>
      </c>
      <c r="E315" s="1" t="s">
        <v>596</v>
      </c>
      <c r="F315" s="3">
        <v>82</v>
      </c>
      <c r="G315" s="4">
        <v>130000</v>
      </c>
      <c r="H315" s="5">
        <v>178</v>
      </c>
      <c r="I315" s="6">
        <v>45658</v>
      </c>
      <c r="J315" s="2" t="s">
        <v>597</v>
      </c>
      <c r="K315" s="15">
        <f>PRODUCT(Table2[[#This Row],[Ticket Price]],Table2[[#This Row],[Passenger Count]])</f>
        <v>23140000</v>
      </c>
      <c r="L315" s="15">
        <f>Table2[[#This Row],[Revenue]]*(1-$O$2)</f>
        <v>20826000</v>
      </c>
    </row>
    <row r="316" spans="1:12" x14ac:dyDescent="0.35">
      <c r="A316" t="s">
        <v>311</v>
      </c>
      <c r="B316" t="s">
        <v>566</v>
      </c>
      <c r="C316" t="s">
        <v>585</v>
      </c>
      <c r="D316" s="2" t="s">
        <v>584</v>
      </c>
      <c r="E316" s="1" t="s">
        <v>595</v>
      </c>
      <c r="F316" s="3">
        <v>141</v>
      </c>
      <c r="G316" s="4">
        <v>35000</v>
      </c>
      <c r="H316" s="5">
        <v>134</v>
      </c>
      <c r="I316" s="6">
        <v>45777</v>
      </c>
      <c r="J316" s="2" t="s">
        <v>597</v>
      </c>
      <c r="K316" s="15">
        <f>PRODUCT(Table2[[#This Row],[Ticket Price]],Table2[[#This Row],[Passenger Count]])</f>
        <v>4690000</v>
      </c>
      <c r="L316" s="15">
        <f>Table2[[#This Row],[Revenue]]*(1-$O$2)</f>
        <v>4221000</v>
      </c>
    </row>
    <row r="317" spans="1:12" x14ac:dyDescent="0.35">
      <c r="A317" t="s">
        <v>312</v>
      </c>
      <c r="B317" t="s">
        <v>403</v>
      </c>
      <c r="C317" t="s">
        <v>585</v>
      </c>
      <c r="D317" s="2" t="s">
        <v>591</v>
      </c>
      <c r="E317" s="1" t="s">
        <v>592</v>
      </c>
      <c r="F317" s="3">
        <v>152</v>
      </c>
      <c r="G317" s="4">
        <v>30000</v>
      </c>
      <c r="H317" s="5">
        <v>176</v>
      </c>
      <c r="I317" s="6">
        <v>45759</v>
      </c>
      <c r="J317" s="2" t="s">
        <v>597</v>
      </c>
      <c r="K317" s="15">
        <f>PRODUCT(Table2[[#This Row],[Ticket Price]],Table2[[#This Row],[Passenger Count]])</f>
        <v>5280000</v>
      </c>
      <c r="L317" s="15">
        <f>Table2[[#This Row],[Revenue]]*(1-$O$2)</f>
        <v>4752000</v>
      </c>
    </row>
    <row r="318" spans="1:12" x14ac:dyDescent="0.35">
      <c r="A318" t="s">
        <v>313</v>
      </c>
      <c r="B318" t="s">
        <v>567</v>
      </c>
      <c r="C318" t="s">
        <v>585</v>
      </c>
      <c r="D318" s="2" t="s">
        <v>582</v>
      </c>
      <c r="E318" s="1" t="s">
        <v>594</v>
      </c>
      <c r="F318" s="3">
        <v>89</v>
      </c>
      <c r="G318" s="4">
        <v>70000</v>
      </c>
      <c r="H318" s="5">
        <v>99</v>
      </c>
      <c r="I318" s="6">
        <v>45786</v>
      </c>
      <c r="J318" s="2" t="s">
        <v>597</v>
      </c>
      <c r="K318" s="15">
        <f>PRODUCT(Table2[[#This Row],[Ticket Price]],Table2[[#This Row],[Passenger Count]])</f>
        <v>6930000</v>
      </c>
      <c r="L318" s="15">
        <f>Table2[[#This Row],[Revenue]]*(1-$O$2)</f>
        <v>6237000</v>
      </c>
    </row>
    <row r="319" spans="1:12" x14ac:dyDescent="0.35">
      <c r="A319" t="s">
        <v>314</v>
      </c>
      <c r="B319" t="s">
        <v>568</v>
      </c>
      <c r="C319" t="s">
        <v>585</v>
      </c>
      <c r="D319" s="2" t="s">
        <v>582</v>
      </c>
      <c r="E319" s="1" t="s">
        <v>593</v>
      </c>
      <c r="F319" s="3">
        <v>16</v>
      </c>
      <c r="G319" s="4">
        <v>25000</v>
      </c>
      <c r="H319" s="5">
        <v>139</v>
      </c>
      <c r="I319" s="6">
        <v>45834</v>
      </c>
      <c r="J319" s="2" t="s">
        <v>598</v>
      </c>
      <c r="K319" s="15">
        <f>PRODUCT(Table2[[#This Row],[Ticket Price]],Table2[[#This Row],[Passenger Count]])</f>
        <v>3475000</v>
      </c>
      <c r="L319" s="15">
        <f>Table2[[#This Row],[Revenue]]*(1-$O$2)</f>
        <v>3127500</v>
      </c>
    </row>
    <row r="320" spans="1:12" x14ac:dyDescent="0.35">
      <c r="A320" t="s">
        <v>315</v>
      </c>
      <c r="B320" t="s">
        <v>455</v>
      </c>
      <c r="C320" t="s">
        <v>587</v>
      </c>
      <c r="D320" s="2" t="s">
        <v>590</v>
      </c>
      <c r="E320" s="1" t="s">
        <v>593</v>
      </c>
      <c r="F320" s="3">
        <v>32</v>
      </c>
      <c r="G320" s="4">
        <v>130000</v>
      </c>
      <c r="H320" s="5">
        <v>69</v>
      </c>
      <c r="I320" s="6">
        <v>45734</v>
      </c>
      <c r="J320" s="2" t="s">
        <v>598</v>
      </c>
      <c r="K320" s="15">
        <f>PRODUCT(Table2[[#This Row],[Ticket Price]],Table2[[#This Row],[Passenger Count]])</f>
        <v>8970000</v>
      </c>
      <c r="L320" s="15">
        <f>Table2[[#This Row],[Revenue]]*(1-$O$2)</f>
        <v>8073000</v>
      </c>
    </row>
    <row r="321" spans="1:12" x14ac:dyDescent="0.35">
      <c r="A321" t="s">
        <v>316</v>
      </c>
      <c r="B321" t="s">
        <v>512</v>
      </c>
      <c r="C321" t="s">
        <v>587</v>
      </c>
      <c r="D321" s="2" t="s">
        <v>585</v>
      </c>
      <c r="E321" s="1" t="s">
        <v>594</v>
      </c>
      <c r="F321" s="3">
        <v>28</v>
      </c>
      <c r="G321" s="4">
        <v>130000</v>
      </c>
      <c r="H321" s="5">
        <v>178</v>
      </c>
      <c r="I321" s="6">
        <v>45689</v>
      </c>
      <c r="J321" s="2" t="s">
        <v>598</v>
      </c>
      <c r="K321" s="15">
        <f>PRODUCT(Table2[[#This Row],[Ticket Price]],Table2[[#This Row],[Passenger Count]])</f>
        <v>23140000</v>
      </c>
      <c r="L321" s="15">
        <f>Table2[[#This Row],[Revenue]]*(1-$O$2)</f>
        <v>20826000</v>
      </c>
    </row>
    <row r="322" spans="1:12" x14ac:dyDescent="0.35">
      <c r="A322" t="s">
        <v>317</v>
      </c>
      <c r="B322" t="s">
        <v>381</v>
      </c>
      <c r="C322" t="s">
        <v>582</v>
      </c>
      <c r="D322" s="2" t="s">
        <v>589</v>
      </c>
      <c r="E322" s="1" t="s">
        <v>596</v>
      </c>
      <c r="F322" s="3">
        <v>25</v>
      </c>
      <c r="G322" s="4">
        <v>120000</v>
      </c>
      <c r="H322" s="5">
        <v>111</v>
      </c>
      <c r="I322" s="6">
        <v>45762</v>
      </c>
      <c r="J322" s="2" t="s">
        <v>598</v>
      </c>
      <c r="K322" s="15">
        <f>PRODUCT(Table2[[#This Row],[Ticket Price]],Table2[[#This Row],[Passenger Count]])</f>
        <v>13320000</v>
      </c>
      <c r="L322" s="15">
        <f>Table2[[#This Row],[Revenue]]*(1-$O$2)</f>
        <v>11988000</v>
      </c>
    </row>
    <row r="323" spans="1:12" x14ac:dyDescent="0.35">
      <c r="A323" t="s">
        <v>318</v>
      </c>
      <c r="B323" t="s">
        <v>569</v>
      </c>
      <c r="C323" t="s">
        <v>581</v>
      </c>
      <c r="D323" s="2" t="s">
        <v>587</v>
      </c>
      <c r="E323" s="1" t="s">
        <v>594</v>
      </c>
      <c r="F323" s="3">
        <v>54</v>
      </c>
      <c r="G323" s="4">
        <v>30000</v>
      </c>
      <c r="H323" s="5">
        <v>101</v>
      </c>
      <c r="I323" s="6">
        <v>45672</v>
      </c>
      <c r="J323" s="2" t="s">
        <v>597</v>
      </c>
      <c r="K323" s="15">
        <f>PRODUCT(Table2[[#This Row],[Ticket Price]],Table2[[#This Row],[Passenger Count]])</f>
        <v>3030000</v>
      </c>
      <c r="L323" s="15">
        <f>Table2[[#This Row],[Revenue]]*(1-$O$2)</f>
        <v>2727000</v>
      </c>
    </row>
    <row r="324" spans="1:12" x14ac:dyDescent="0.35">
      <c r="A324" t="s">
        <v>319</v>
      </c>
      <c r="B324" t="s">
        <v>570</v>
      </c>
      <c r="C324" t="s">
        <v>585</v>
      </c>
      <c r="D324" s="2" t="s">
        <v>584</v>
      </c>
      <c r="E324" s="1" t="s">
        <v>592</v>
      </c>
      <c r="F324" s="3">
        <v>105</v>
      </c>
      <c r="G324" s="4">
        <v>110000</v>
      </c>
      <c r="H324" s="5">
        <v>126</v>
      </c>
      <c r="I324" s="6">
        <v>45818</v>
      </c>
      <c r="J324" s="2" t="s">
        <v>598</v>
      </c>
      <c r="K324" s="15">
        <f>PRODUCT(Table2[[#This Row],[Ticket Price]],Table2[[#This Row],[Passenger Count]])</f>
        <v>13860000</v>
      </c>
      <c r="L324" s="15">
        <f>Table2[[#This Row],[Revenue]]*(1-$O$2)</f>
        <v>12474000</v>
      </c>
    </row>
    <row r="325" spans="1:12" x14ac:dyDescent="0.35">
      <c r="A325" t="s">
        <v>320</v>
      </c>
      <c r="B325" t="s">
        <v>571</v>
      </c>
      <c r="C325" t="s">
        <v>581</v>
      </c>
      <c r="D325" s="2" t="s">
        <v>585</v>
      </c>
      <c r="E325" s="1" t="s">
        <v>595</v>
      </c>
      <c r="F325" s="3">
        <v>27</v>
      </c>
      <c r="G325" s="4">
        <v>45000</v>
      </c>
      <c r="H325" s="5">
        <v>73</v>
      </c>
      <c r="I325" s="6">
        <v>45659</v>
      </c>
      <c r="J325" s="2" t="s">
        <v>598</v>
      </c>
      <c r="K325" s="15">
        <f>PRODUCT(Table2[[#This Row],[Ticket Price]],Table2[[#This Row],[Passenger Count]])</f>
        <v>3285000</v>
      </c>
      <c r="L325" s="15">
        <f>Table2[[#This Row],[Revenue]]*(1-$O$2)</f>
        <v>2956500</v>
      </c>
    </row>
    <row r="326" spans="1:12" x14ac:dyDescent="0.35">
      <c r="A326" t="s">
        <v>321</v>
      </c>
      <c r="B326" t="s">
        <v>572</v>
      </c>
      <c r="C326" t="s">
        <v>588</v>
      </c>
      <c r="D326" s="2" t="s">
        <v>590</v>
      </c>
      <c r="E326" s="1" t="s">
        <v>595</v>
      </c>
      <c r="F326" s="3">
        <v>89</v>
      </c>
      <c r="G326" s="4">
        <v>120000</v>
      </c>
      <c r="H326" s="5">
        <v>175</v>
      </c>
      <c r="I326" s="6">
        <v>45804</v>
      </c>
      <c r="J326" s="2" t="s">
        <v>598</v>
      </c>
      <c r="K326" s="15">
        <f>PRODUCT(Table2[[#This Row],[Ticket Price]],Table2[[#This Row],[Passenger Count]])</f>
        <v>21000000</v>
      </c>
      <c r="L326" s="15">
        <f>Table2[[#This Row],[Revenue]]*(1-$O$2)</f>
        <v>18900000</v>
      </c>
    </row>
    <row r="327" spans="1:12" x14ac:dyDescent="0.35">
      <c r="A327" t="s">
        <v>322</v>
      </c>
      <c r="B327" t="s">
        <v>456</v>
      </c>
      <c r="C327" t="s">
        <v>582</v>
      </c>
      <c r="D327" s="2" t="s">
        <v>589</v>
      </c>
      <c r="E327" s="1" t="s">
        <v>592</v>
      </c>
      <c r="F327" s="3">
        <v>90</v>
      </c>
      <c r="G327" s="4">
        <v>90000</v>
      </c>
      <c r="H327" s="5">
        <v>95</v>
      </c>
      <c r="I327" s="6">
        <v>45775</v>
      </c>
      <c r="J327" s="2" t="s">
        <v>598</v>
      </c>
      <c r="K327" s="15">
        <f>PRODUCT(Table2[[#This Row],[Ticket Price]],Table2[[#This Row],[Passenger Count]])</f>
        <v>8550000</v>
      </c>
      <c r="L327" s="15">
        <f>Table2[[#This Row],[Revenue]]*(1-$O$2)</f>
        <v>7695000</v>
      </c>
    </row>
    <row r="328" spans="1:12" x14ac:dyDescent="0.35">
      <c r="A328" t="s">
        <v>323</v>
      </c>
      <c r="B328" t="s">
        <v>573</v>
      </c>
      <c r="C328" t="s">
        <v>587</v>
      </c>
      <c r="D328" s="2" t="s">
        <v>584</v>
      </c>
      <c r="E328" s="1" t="s">
        <v>596</v>
      </c>
      <c r="F328" s="3">
        <v>6</v>
      </c>
      <c r="G328" s="4">
        <v>95000</v>
      </c>
      <c r="H328" s="5">
        <v>157</v>
      </c>
      <c r="I328" s="6">
        <v>45684</v>
      </c>
      <c r="J328" s="2" t="s">
        <v>597</v>
      </c>
      <c r="K328" s="15">
        <f>PRODUCT(Table2[[#This Row],[Ticket Price]],Table2[[#This Row],[Passenger Count]])</f>
        <v>14915000</v>
      </c>
      <c r="L328" s="15">
        <f>Table2[[#This Row],[Revenue]]*(1-$O$2)</f>
        <v>13423500</v>
      </c>
    </row>
    <row r="329" spans="1:12" x14ac:dyDescent="0.35">
      <c r="A329" t="s">
        <v>324</v>
      </c>
      <c r="B329" t="s">
        <v>532</v>
      </c>
      <c r="C329" t="s">
        <v>581</v>
      </c>
      <c r="D329" s="2" t="s">
        <v>582</v>
      </c>
      <c r="E329" s="1" t="s">
        <v>594</v>
      </c>
      <c r="F329" s="3">
        <v>43</v>
      </c>
      <c r="G329" s="4">
        <v>40000</v>
      </c>
      <c r="H329" s="5">
        <v>80</v>
      </c>
      <c r="I329" s="6">
        <v>45722</v>
      </c>
      <c r="J329" s="2" t="s">
        <v>598</v>
      </c>
      <c r="K329" s="15">
        <f>PRODUCT(Table2[[#This Row],[Ticket Price]],Table2[[#This Row],[Passenger Count]])</f>
        <v>3200000</v>
      </c>
      <c r="L329" s="15">
        <f>Table2[[#This Row],[Revenue]]*(1-$O$2)</f>
        <v>2880000</v>
      </c>
    </row>
    <row r="330" spans="1:12" x14ac:dyDescent="0.35">
      <c r="A330" t="s">
        <v>325</v>
      </c>
      <c r="B330" t="s">
        <v>406</v>
      </c>
      <c r="C330" t="s">
        <v>581</v>
      </c>
      <c r="D330" s="2" t="s">
        <v>590</v>
      </c>
      <c r="E330" s="1" t="s">
        <v>592</v>
      </c>
      <c r="F330" s="3">
        <v>8</v>
      </c>
      <c r="G330" s="4">
        <v>70000</v>
      </c>
      <c r="H330" s="5">
        <v>74</v>
      </c>
      <c r="I330" s="6">
        <v>45732</v>
      </c>
      <c r="J330" s="2" t="s">
        <v>597</v>
      </c>
      <c r="K330" s="15">
        <f>PRODUCT(Table2[[#This Row],[Ticket Price]],Table2[[#This Row],[Passenger Count]])</f>
        <v>5180000</v>
      </c>
      <c r="L330" s="15">
        <f>Table2[[#This Row],[Revenue]]*(1-$O$2)</f>
        <v>4662000</v>
      </c>
    </row>
    <row r="331" spans="1:12" x14ac:dyDescent="0.35">
      <c r="A331" t="s">
        <v>326</v>
      </c>
      <c r="B331" t="s">
        <v>488</v>
      </c>
      <c r="C331" t="s">
        <v>587</v>
      </c>
      <c r="D331" s="2" t="s">
        <v>585</v>
      </c>
      <c r="E331" s="1" t="s">
        <v>594</v>
      </c>
      <c r="F331" s="3">
        <v>153</v>
      </c>
      <c r="G331" s="4">
        <v>125000</v>
      </c>
      <c r="H331" s="5">
        <v>101</v>
      </c>
      <c r="I331" s="6">
        <v>45677</v>
      </c>
      <c r="J331" s="2" t="s">
        <v>598</v>
      </c>
      <c r="K331" s="15">
        <f>PRODUCT(Table2[[#This Row],[Ticket Price]],Table2[[#This Row],[Passenger Count]])</f>
        <v>12625000</v>
      </c>
      <c r="L331" s="15">
        <f>Table2[[#This Row],[Revenue]]*(1-$O$2)</f>
        <v>11362500</v>
      </c>
    </row>
    <row r="332" spans="1:12" x14ac:dyDescent="0.35">
      <c r="A332" t="s">
        <v>327</v>
      </c>
      <c r="B332" t="s">
        <v>543</v>
      </c>
      <c r="C332" t="s">
        <v>588</v>
      </c>
      <c r="D332" s="2" t="s">
        <v>589</v>
      </c>
      <c r="E332" s="1" t="s">
        <v>592</v>
      </c>
      <c r="F332" s="3">
        <v>46</v>
      </c>
      <c r="G332" s="4">
        <v>50000</v>
      </c>
      <c r="H332" s="5">
        <v>141</v>
      </c>
      <c r="I332" s="6">
        <v>45776</v>
      </c>
      <c r="J332" s="2" t="s">
        <v>598</v>
      </c>
      <c r="K332" s="15">
        <f>PRODUCT(Table2[[#This Row],[Ticket Price]],Table2[[#This Row],[Passenger Count]])</f>
        <v>7050000</v>
      </c>
      <c r="L332" s="15">
        <f>Table2[[#This Row],[Revenue]]*(1-$O$2)</f>
        <v>6345000</v>
      </c>
    </row>
    <row r="333" spans="1:12" x14ac:dyDescent="0.35">
      <c r="A333" t="s">
        <v>328</v>
      </c>
      <c r="B333" t="s">
        <v>574</v>
      </c>
      <c r="C333" t="s">
        <v>584</v>
      </c>
      <c r="D333" s="2" t="s">
        <v>590</v>
      </c>
      <c r="E333" s="1" t="s">
        <v>594</v>
      </c>
      <c r="F333" s="3">
        <v>136</v>
      </c>
      <c r="G333" s="4">
        <v>25000</v>
      </c>
      <c r="H333" s="5">
        <v>132</v>
      </c>
      <c r="I333" s="6">
        <v>45756</v>
      </c>
      <c r="J333" s="2" t="s">
        <v>598</v>
      </c>
      <c r="K333" s="15">
        <f>PRODUCT(Table2[[#This Row],[Ticket Price]],Table2[[#This Row],[Passenger Count]])</f>
        <v>3300000</v>
      </c>
      <c r="L333" s="15">
        <f>Table2[[#This Row],[Revenue]]*(1-$O$2)</f>
        <v>2970000</v>
      </c>
    </row>
    <row r="334" spans="1:12" x14ac:dyDescent="0.35">
      <c r="A334" t="s">
        <v>329</v>
      </c>
      <c r="B334" t="s">
        <v>378</v>
      </c>
      <c r="C334" t="s">
        <v>584</v>
      </c>
      <c r="D334" s="2" t="s">
        <v>591</v>
      </c>
      <c r="E334" s="1" t="s">
        <v>592</v>
      </c>
      <c r="F334" s="3">
        <v>-1</v>
      </c>
      <c r="G334" s="4">
        <v>125000</v>
      </c>
      <c r="H334" s="5">
        <v>113</v>
      </c>
      <c r="I334" s="6">
        <v>45741</v>
      </c>
      <c r="J334" s="2" t="s">
        <v>598</v>
      </c>
      <c r="K334" s="15">
        <f>PRODUCT(Table2[[#This Row],[Ticket Price]],Table2[[#This Row],[Passenger Count]])</f>
        <v>14125000</v>
      </c>
      <c r="L334" s="15">
        <f>Table2[[#This Row],[Revenue]]*(1-$O$2)</f>
        <v>12712500</v>
      </c>
    </row>
    <row r="335" spans="1:12" x14ac:dyDescent="0.35">
      <c r="A335" t="s">
        <v>330</v>
      </c>
      <c r="B335" t="s">
        <v>350</v>
      </c>
      <c r="C335" t="s">
        <v>584</v>
      </c>
      <c r="D335" s="2" t="s">
        <v>591</v>
      </c>
      <c r="E335" s="1" t="s">
        <v>592</v>
      </c>
      <c r="F335" s="3">
        <v>94</v>
      </c>
      <c r="G335" s="4">
        <v>70000</v>
      </c>
      <c r="H335" s="5">
        <v>113</v>
      </c>
      <c r="I335" s="6">
        <v>45792</v>
      </c>
      <c r="J335" s="2" t="s">
        <v>598</v>
      </c>
      <c r="K335" s="15">
        <f>PRODUCT(Table2[[#This Row],[Ticket Price]],Table2[[#This Row],[Passenger Count]])</f>
        <v>7910000</v>
      </c>
      <c r="L335" s="15">
        <f>Table2[[#This Row],[Revenue]]*(1-$O$2)</f>
        <v>7119000</v>
      </c>
    </row>
    <row r="336" spans="1:12" x14ac:dyDescent="0.35">
      <c r="A336" t="s">
        <v>331</v>
      </c>
      <c r="B336" t="s">
        <v>531</v>
      </c>
      <c r="C336" t="s">
        <v>584</v>
      </c>
      <c r="D336" s="2" t="s">
        <v>589</v>
      </c>
      <c r="E336" s="1" t="s">
        <v>592</v>
      </c>
      <c r="F336" s="3">
        <v>32</v>
      </c>
      <c r="G336" s="4">
        <v>90000</v>
      </c>
      <c r="H336" s="5">
        <v>110</v>
      </c>
      <c r="I336" s="6">
        <v>45735</v>
      </c>
      <c r="J336" s="2" t="s">
        <v>598</v>
      </c>
      <c r="K336" s="15">
        <f>PRODUCT(Table2[[#This Row],[Ticket Price]],Table2[[#This Row],[Passenger Count]])</f>
        <v>9900000</v>
      </c>
      <c r="L336" s="15">
        <f>Table2[[#This Row],[Revenue]]*(1-$O$2)</f>
        <v>8910000</v>
      </c>
    </row>
    <row r="337" spans="1:12" x14ac:dyDescent="0.35">
      <c r="A337" t="s">
        <v>332</v>
      </c>
      <c r="B337" t="s">
        <v>575</v>
      </c>
      <c r="C337" t="s">
        <v>582</v>
      </c>
      <c r="D337" s="2" t="s">
        <v>584</v>
      </c>
      <c r="E337" s="1" t="s">
        <v>595</v>
      </c>
      <c r="F337" s="3">
        <v>55</v>
      </c>
      <c r="G337" s="4">
        <v>115000</v>
      </c>
      <c r="H337" s="5">
        <v>128</v>
      </c>
      <c r="I337" s="6">
        <v>45756</v>
      </c>
      <c r="J337" s="2" t="s">
        <v>598</v>
      </c>
      <c r="K337" s="15">
        <f>PRODUCT(Table2[[#This Row],[Ticket Price]],Table2[[#This Row],[Passenger Count]])</f>
        <v>14720000</v>
      </c>
      <c r="L337" s="15">
        <f>Table2[[#This Row],[Revenue]]*(1-$O$2)</f>
        <v>13248000</v>
      </c>
    </row>
    <row r="338" spans="1:12" x14ac:dyDescent="0.35">
      <c r="A338" t="s">
        <v>333</v>
      </c>
      <c r="B338" t="s">
        <v>537</v>
      </c>
      <c r="C338" t="s">
        <v>586</v>
      </c>
      <c r="D338" s="2" t="s">
        <v>583</v>
      </c>
      <c r="E338" s="1" t="s">
        <v>593</v>
      </c>
      <c r="F338" s="3">
        <v>19</v>
      </c>
      <c r="G338" s="4">
        <v>100000</v>
      </c>
      <c r="H338" s="5">
        <v>93</v>
      </c>
      <c r="I338" s="6">
        <v>45668</v>
      </c>
      <c r="J338" s="2" t="s">
        <v>597</v>
      </c>
      <c r="K338" s="15">
        <f>PRODUCT(Table2[[#This Row],[Ticket Price]],Table2[[#This Row],[Passenger Count]])</f>
        <v>9300000</v>
      </c>
      <c r="L338" s="15">
        <f>Table2[[#This Row],[Revenue]]*(1-$O$2)</f>
        <v>8370000</v>
      </c>
    </row>
    <row r="339" spans="1:12" x14ac:dyDescent="0.35">
      <c r="A339" t="s">
        <v>334</v>
      </c>
      <c r="B339" t="s">
        <v>554</v>
      </c>
      <c r="C339" t="s">
        <v>583</v>
      </c>
      <c r="D339" s="2" t="s">
        <v>590</v>
      </c>
      <c r="E339" s="1" t="s">
        <v>594</v>
      </c>
      <c r="F339" s="3">
        <v>6</v>
      </c>
      <c r="G339" s="4">
        <v>40000</v>
      </c>
      <c r="H339" s="5">
        <v>146</v>
      </c>
      <c r="I339" s="6">
        <v>45681</v>
      </c>
      <c r="J339" s="2" t="s">
        <v>597</v>
      </c>
      <c r="K339" s="15">
        <f>PRODUCT(Table2[[#This Row],[Ticket Price]],Table2[[#This Row],[Passenger Count]])</f>
        <v>5840000</v>
      </c>
      <c r="L339" s="15">
        <f>Table2[[#This Row],[Revenue]]*(1-$O$2)</f>
        <v>5256000</v>
      </c>
    </row>
    <row r="340" spans="1:12" x14ac:dyDescent="0.35">
      <c r="A340" t="s">
        <v>335</v>
      </c>
      <c r="B340" t="s">
        <v>511</v>
      </c>
      <c r="C340" t="s">
        <v>585</v>
      </c>
      <c r="D340" s="2" t="s">
        <v>582</v>
      </c>
      <c r="E340" s="1" t="s">
        <v>592</v>
      </c>
      <c r="F340" s="3">
        <v>29</v>
      </c>
      <c r="G340" s="4">
        <v>130000</v>
      </c>
      <c r="H340" s="5">
        <v>98</v>
      </c>
      <c r="I340" s="6">
        <v>45718</v>
      </c>
      <c r="J340" s="2" t="s">
        <v>597</v>
      </c>
      <c r="K340" s="15">
        <f>PRODUCT(Table2[[#This Row],[Ticket Price]],Table2[[#This Row],[Passenger Count]])</f>
        <v>12740000</v>
      </c>
      <c r="L340" s="15">
        <f>Table2[[#This Row],[Revenue]]*(1-$O$2)</f>
        <v>11466000</v>
      </c>
    </row>
    <row r="341" spans="1:12" x14ac:dyDescent="0.35">
      <c r="A341" t="s">
        <v>336</v>
      </c>
      <c r="B341" t="s">
        <v>576</v>
      </c>
      <c r="C341" t="s">
        <v>581</v>
      </c>
      <c r="D341" s="2" t="s">
        <v>583</v>
      </c>
      <c r="E341" s="1" t="s">
        <v>592</v>
      </c>
      <c r="F341" s="3">
        <v>153</v>
      </c>
      <c r="G341" s="4">
        <v>120000</v>
      </c>
      <c r="H341" s="5">
        <v>134</v>
      </c>
      <c r="I341" s="6">
        <v>45701</v>
      </c>
      <c r="J341" s="2" t="s">
        <v>598</v>
      </c>
      <c r="K341" s="15">
        <f>PRODUCT(Table2[[#This Row],[Ticket Price]],Table2[[#This Row],[Passenger Count]])</f>
        <v>16080000</v>
      </c>
      <c r="L341" s="15">
        <f>Table2[[#This Row],[Revenue]]*(1-$O$2)</f>
        <v>14472000</v>
      </c>
    </row>
    <row r="342" spans="1:12" x14ac:dyDescent="0.35">
      <c r="A342" t="s">
        <v>337</v>
      </c>
      <c r="B342" t="s">
        <v>577</v>
      </c>
      <c r="C342" t="s">
        <v>581</v>
      </c>
      <c r="D342" s="2" t="s">
        <v>589</v>
      </c>
      <c r="E342" s="1" t="s">
        <v>596</v>
      </c>
      <c r="F342" s="3">
        <v>116</v>
      </c>
      <c r="G342" s="4">
        <v>135000</v>
      </c>
      <c r="H342" s="5">
        <v>151</v>
      </c>
      <c r="I342" s="6">
        <v>45717</v>
      </c>
      <c r="J342" s="2" t="s">
        <v>597</v>
      </c>
      <c r="K342" s="15">
        <f>PRODUCT(Table2[[#This Row],[Ticket Price]],Table2[[#This Row],[Passenger Count]])</f>
        <v>20385000</v>
      </c>
      <c r="L342" s="15">
        <f>Table2[[#This Row],[Revenue]]*(1-$O$2)</f>
        <v>18346500</v>
      </c>
    </row>
    <row r="343" spans="1:12" x14ac:dyDescent="0.35">
      <c r="A343" t="s">
        <v>338</v>
      </c>
      <c r="B343" t="s">
        <v>495</v>
      </c>
      <c r="C343" t="s">
        <v>586</v>
      </c>
      <c r="D343" s="2" t="s">
        <v>583</v>
      </c>
      <c r="E343" s="1" t="s">
        <v>593</v>
      </c>
      <c r="F343" s="3">
        <v>167</v>
      </c>
      <c r="G343" s="4">
        <v>35000</v>
      </c>
      <c r="H343" s="5">
        <v>73</v>
      </c>
      <c r="I343" s="6">
        <v>45797</v>
      </c>
      <c r="J343" s="2" t="s">
        <v>598</v>
      </c>
      <c r="K343" s="15">
        <f>PRODUCT(Table2[[#This Row],[Ticket Price]],Table2[[#This Row],[Passenger Count]])</f>
        <v>2555000</v>
      </c>
      <c r="L343" s="15">
        <f>Table2[[#This Row],[Revenue]]*(1-$O$2)</f>
        <v>2299500</v>
      </c>
    </row>
    <row r="344" spans="1:12" x14ac:dyDescent="0.35">
      <c r="A344" t="s">
        <v>339</v>
      </c>
      <c r="B344" t="s">
        <v>388</v>
      </c>
      <c r="C344" t="s">
        <v>584</v>
      </c>
      <c r="D344" s="2" t="s">
        <v>591</v>
      </c>
      <c r="E344" s="1" t="s">
        <v>596</v>
      </c>
      <c r="F344" s="3">
        <v>42</v>
      </c>
      <c r="G344" s="4">
        <v>90000</v>
      </c>
      <c r="H344" s="5">
        <v>146</v>
      </c>
      <c r="I344" s="6">
        <v>45678</v>
      </c>
      <c r="J344" s="2" t="s">
        <v>597</v>
      </c>
      <c r="K344" s="15">
        <f>PRODUCT(Table2[[#This Row],[Ticket Price]],Table2[[#This Row],[Passenger Count]])</f>
        <v>13140000</v>
      </c>
      <c r="L344" s="15">
        <f>Table2[[#This Row],[Revenue]]*(1-$O$2)</f>
        <v>11826000</v>
      </c>
    </row>
    <row r="345" spans="1:12" x14ac:dyDescent="0.35">
      <c r="A345" t="s">
        <v>340</v>
      </c>
      <c r="B345" t="s">
        <v>578</v>
      </c>
      <c r="C345" t="s">
        <v>582</v>
      </c>
      <c r="D345" s="2" t="s">
        <v>590</v>
      </c>
      <c r="E345" s="1" t="s">
        <v>596</v>
      </c>
      <c r="F345" s="3">
        <v>124</v>
      </c>
      <c r="G345" s="4">
        <v>145000</v>
      </c>
      <c r="H345" s="5">
        <v>169</v>
      </c>
      <c r="I345" s="6">
        <v>45763</v>
      </c>
      <c r="J345" s="2" t="s">
        <v>597</v>
      </c>
      <c r="K345" s="15">
        <f>PRODUCT(Table2[[#This Row],[Ticket Price]],Table2[[#This Row],[Passenger Count]])</f>
        <v>24505000</v>
      </c>
      <c r="L345" s="15">
        <f>Table2[[#This Row],[Revenue]]*(1-$O$2)</f>
        <v>22054500</v>
      </c>
    </row>
    <row r="346" spans="1:12" x14ac:dyDescent="0.35">
      <c r="A346" t="s">
        <v>341</v>
      </c>
      <c r="B346" t="s">
        <v>579</v>
      </c>
      <c r="C346" t="s">
        <v>586</v>
      </c>
      <c r="D346" s="2" t="s">
        <v>590</v>
      </c>
      <c r="E346" s="1" t="s">
        <v>593</v>
      </c>
      <c r="F346" s="3">
        <v>119</v>
      </c>
      <c r="G346" s="4">
        <v>40000</v>
      </c>
      <c r="H346" s="5">
        <v>97</v>
      </c>
      <c r="I346" s="6">
        <v>45722</v>
      </c>
      <c r="J346" s="2" t="s">
        <v>598</v>
      </c>
      <c r="K346" s="15">
        <f>PRODUCT(Table2[[#This Row],[Ticket Price]],Table2[[#This Row],[Passenger Count]])</f>
        <v>3880000</v>
      </c>
      <c r="L346" s="15">
        <f>Table2[[#This Row],[Revenue]]*(1-$O$2)</f>
        <v>3492000</v>
      </c>
    </row>
    <row r="347" spans="1:12" x14ac:dyDescent="0.35">
      <c r="A347" t="s">
        <v>342</v>
      </c>
      <c r="B347" t="s">
        <v>517</v>
      </c>
      <c r="C347" t="s">
        <v>585</v>
      </c>
      <c r="D347" s="2" t="s">
        <v>587</v>
      </c>
      <c r="E347" s="1" t="s">
        <v>592</v>
      </c>
      <c r="F347" s="3">
        <v>-3</v>
      </c>
      <c r="G347" s="4">
        <v>60000</v>
      </c>
      <c r="H347" s="5">
        <v>126</v>
      </c>
      <c r="I347" s="6">
        <v>45744</v>
      </c>
      <c r="J347" s="2" t="s">
        <v>598</v>
      </c>
      <c r="K347" s="15">
        <f>PRODUCT(Table2[[#This Row],[Ticket Price]],Table2[[#This Row],[Passenger Count]])</f>
        <v>7560000</v>
      </c>
      <c r="L347" s="15">
        <f>Table2[[#This Row],[Revenue]]*(1-$O$2)</f>
        <v>6804000</v>
      </c>
    </row>
    <row r="348" spans="1:12" x14ac:dyDescent="0.35">
      <c r="A348" t="s">
        <v>343</v>
      </c>
      <c r="B348" t="s">
        <v>580</v>
      </c>
      <c r="C348" t="s">
        <v>584</v>
      </c>
      <c r="D348" s="2" t="s">
        <v>589</v>
      </c>
      <c r="E348" s="1" t="s">
        <v>595</v>
      </c>
      <c r="F348" s="3">
        <v>92</v>
      </c>
      <c r="G348" s="4">
        <v>135000</v>
      </c>
      <c r="H348" s="5">
        <v>125</v>
      </c>
      <c r="I348" s="6">
        <v>45795</v>
      </c>
      <c r="J348" s="2" t="s">
        <v>597</v>
      </c>
      <c r="K348" s="15">
        <f>PRODUCT(Table2[[#This Row],[Ticket Price]],Table2[[#This Row],[Passenger Count]])</f>
        <v>16875000</v>
      </c>
      <c r="L348" s="15">
        <f>Table2[[#This Row],[Revenue]]*(1-$O$2)</f>
        <v>15187500</v>
      </c>
    </row>
    <row r="349" spans="1:12" x14ac:dyDescent="0.35">
      <c r="A349" t="s">
        <v>344</v>
      </c>
      <c r="B349" t="s">
        <v>545</v>
      </c>
      <c r="C349" t="s">
        <v>585</v>
      </c>
      <c r="D349" s="2" t="s">
        <v>583</v>
      </c>
      <c r="E349" s="1" t="s">
        <v>595</v>
      </c>
      <c r="F349" s="3">
        <v>175</v>
      </c>
      <c r="G349" s="4">
        <v>80000</v>
      </c>
      <c r="H349" s="5">
        <v>110</v>
      </c>
      <c r="I349" s="6">
        <v>45797</v>
      </c>
      <c r="J349" s="2" t="s">
        <v>598</v>
      </c>
      <c r="K349" s="15">
        <f>PRODUCT(Table2[[#This Row],[Ticket Price]],Table2[[#This Row],[Passenger Count]])</f>
        <v>8800000</v>
      </c>
      <c r="L349" s="15">
        <f>Table2[[#This Row],[Revenue]]*(1-$O$2)</f>
        <v>7920000</v>
      </c>
    </row>
    <row r="350" spans="1:12" x14ac:dyDescent="0.35">
      <c r="A350" t="s">
        <v>345</v>
      </c>
      <c r="B350" t="s">
        <v>554</v>
      </c>
      <c r="C350" t="s">
        <v>585</v>
      </c>
      <c r="D350" s="2" t="s">
        <v>584</v>
      </c>
      <c r="E350" s="1" t="s">
        <v>594</v>
      </c>
      <c r="F350" s="3">
        <v>76</v>
      </c>
      <c r="G350" s="4">
        <v>115000</v>
      </c>
      <c r="H350" s="5">
        <v>93</v>
      </c>
      <c r="I350" s="6">
        <v>45714</v>
      </c>
      <c r="J350" s="2" t="s">
        <v>598</v>
      </c>
      <c r="K350" s="15">
        <f>PRODUCT(Table2[[#This Row],[Ticket Price]],Table2[[#This Row],[Passenger Count]])</f>
        <v>10695000</v>
      </c>
      <c r="L350" s="15">
        <f>Table2[[#This Row],[Revenue]]*(1-$O$2)</f>
        <v>9625500</v>
      </c>
    </row>
    <row r="351" spans="1:12" x14ac:dyDescent="0.35">
      <c r="A351" t="s">
        <v>346</v>
      </c>
      <c r="B351" t="s">
        <v>506</v>
      </c>
      <c r="C351" t="s">
        <v>586</v>
      </c>
      <c r="D351" s="2" t="s">
        <v>582</v>
      </c>
      <c r="E351" s="1" t="s">
        <v>593</v>
      </c>
      <c r="F351" s="3">
        <v>25</v>
      </c>
      <c r="G351" s="4">
        <v>115000</v>
      </c>
      <c r="H351" s="5">
        <v>168</v>
      </c>
      <c r="I351" s="6">
        <v>45740</v>
      </c>
      <c r="J351" s="2" t="s">
        <v>598</v>
      </c>
      <c r="K351" s="15">
        <f>PRODUCT(Table2[[#This Row],[Ticket Price]],Table2[[#This Row],[Passenger Count]])</f>
        <v>19320000</v>
      </c>
      <c r="L351" s="15">
        <f>Table2[[#This Row],[Revenue]]*(1-$O$2)</f>
        <v>17388000</v>
      </c>
    </row>
    <row r="352" spans="1:12" x14ac:dyDescent="0.35">
      <c r="A352"/>
      <c r="D352"/>
      <c r="F352"/>
      <c r="G352"/>
      <c r="H352"/>
      <c r="I352"/>
      <c r="J352"/>
      <c r="K352"/>
    </row>
    <row r="353" spans="1:11" x14ac:dyDescent="0.35">
      <c r="A353"/>
      <c r="D353"/>
      <c r="F353"/>
      <c r="G353"/>
      <c r="H353"/>
      <c r="I353"/>
      <c r="J353"/>
      <c r="K353"/>
    </row>
    <row r="354" spans="1:11" x14ac:dyDescent="0.35">
      <c r="A354"/>
      <c r="D354"/>
      <c r="F354"/>
      <c r="G354" s="16" t="s">
        <v>613</v>
      </c>
      <c r="H354" s="5">
        <f>SUM(H2:H351)</f>
        <v>41724</v>
      </c>
      <c r="I354"/>
      <c r="J354"/>
      <c r="K354"/>
    </row>
    <row r="355" spans="1:11" x14ac:dyDescent="0.35">
      <c r="A355"/>
      <c r="D355"/>
      <c r="F355"/>
      <c r="G355"/>
      <c r="H355"/>
      <c r="I355"/>
      <c r="J355"/>
      <c r="K355"/>
    </row>
    <row r="356" spans="1:11" x14ac:dyDescent="0.35">
      <c r="A356"/>
      <c r="D356"/>
      <c r="F356"/>
      <c r="G356"/>
      <c r="H356"/>
      <c r="I356"/>
      <c r="J356"/>
      <c r="K35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FBC0-644E-438C-950F-A3F89FF6314F}">
  <dimension ref="A1:T356"/>
  <sheetViews>
    <sheetView zoomScaleNormal="100" workbookViewId="0">
      <selection activeCell="P8" sqref="P8"/>
    </sheetView>
  </sheetViews>
  <sheetFormatPr defaultRowHeight="14.5" x14ac:dyDescent="0.35"/>
  <cols>
    <col min="1" max="1" width="11.54296875" style="1" customWidth="1"/>
    <col min="2" max="2" width="14.81640625" customWidth="1"/>
    <col min="3" max="3" width="15.1796875" customWidth="1"/>
    <col min="4" max="4" width="19.453125" style="2" bestFit="1" customWidth="1"/>
    <col min="5" max="5" width="18.1796875" bestFit="1" customWidth="1"/>
    <col min="6" max="6" width="19.54296875" style="3" customWidth="1"/>
    <col min="7" max="7" width="18" style="4" customWidth="1"/>
    <col min="8" max="8" width="17" style="5" customWidth="1"/>
    <col min="9" max="9" width="18.26953125" style="6" bestFit="1" customWidth="1"/>
    <col min="10" max="10" width="14.81640625" style="2" customWidth="1"/>
    <col min="11" max="11" width="19" style="15" customWidth="1"/>
    <col min="12" max="12" width="20.81640625" style="1" customWidth="1"/>
    <col min="13" max="13" width="21" bestFit="1" customWidth="1"/>
    <col min="16" max="16" width="11.7265625" customWidth="1"/>
    <col min="17" max="17" width="17.54296875" customWidth="1"/>
    <col min="18" max="19" width="17.81640625" customWidth="1"/>
    <col min="20" max="20" width="13.54296875" bestFit="1" customWidth="1"/>
  </cols>
  <sheetData>
    <row r="1" spans="1:20" x14ac:dyDescent="0.35">
      <c r="A1" s="7" t="s">
        <v>603</v>
      </c>
      <c r="B1" s="8" t="s">
        <v>604</v>
      </c>
      <c r="C1" s="8" t="s">
        <v>605</v>
      </c>
      <c r="D1" s="9" t="s">
        <v>606</v>
      </c>
      <c r="E1" s="8" t="s">
        <v>607</v>
      </c>
      <c r="F1" s="10" t="s">
        <v>608</v>
      </c>
      <c r="G1" s="11" t="s">
        <v>609</v>
      </c>
      <c r="H1" s="12" t="s">
        <v>610</v>
      </c>
      <c r="I1" s="13" t="s">
        <v>611</v>
      </c>
      <c r="J1" s="9" t="s">
        <v>0</v>
      </c>
      <c r="K1" s="14" t="s">
        <v>612</v>
      </c>
      <c r="L1" s="17" t="s">
        <v>614</v>
      </c>
      <c r="M1" s="17" t="s">
        <v>617</v>
      </c>
      <c r="N1" s="20"/>
      <c r="O1" s="20"/>
      <c r="Q1" s="26" t="s">
        <v>615</v>
      </c>
      <c r="R1" s="26" t="s">
        <v>616</v>
      </c>
      <c r="S1" s="26" t="s">
        <v>614</v>
      </c>
    </row>
    <row r="2" spans="1:20" x14ac:dyDescent="0.35">
      <c r="A2" t="s">
        <v>1</v>
      </c>
      <c r="B2" t="s">
        <v>347</v>
      </c>
      <c r="C2" t="s">
        <v>581</v>
      </c>
      <c r="D2" s="2" t="s">
        <v>585</v>
      </c>
      <c r="E2" s="1" t="s">
        <v>592</v>
      </c>
      <c r="F2" s="3">
        <v>122</v>
      </c>
      <c r="G2" s="4">
        <v>140000</v>
      </c>
      <c r="H2" s="5">
        <v>94</v>
      </c>
      <c r="I2" s="6">
        <v>45682</v>
      </c>
      <c r="J2" s="2" t="s">
        <v>597</v>
      </c>
      <c r="K2" s="15">
        <f>PRODUCT(Table24[[#This Row],[Ticket Price]],Table24[[#This Row],[Passenger Count]])</f>
        <v>13160000</v>
      </c>
      <c r="L2" s="15">
        <f>Table24[[#This Row],[Revenue]]*(1-$Q$2)</f>
        <v>11844000</v>
      </c>
      <c r="M2" t="str">
        <f>IF(F2&lt;=10,"On Time",IF(F2&lt;=30,"Slight Delay","Late"))</f>
        <v>Late</v>
      </c>
      <c r="Q2" s="27">
        <f>10/100</f>
        <v>0.1</v>
      </c>
      <c r="R2" s="23">
        <f>Table24[[#This Row],[Revenue]]*Q2</f>
        <v>1316000</v>
      </c>
      <c r="S2" s="23">
        <f>Table24[[#This Row],[Revenue]]-R2</f>
        <v>11844000</v>
      </c>
      <c r="T2" s="15"/>
    </row>
    <row r="3" spans="1:20" x14ac:dyDescent="0.35">
      <c r="A3" t="s">
        <v>2</v>
      </c>
      <c r="B3" t="s">
        <v>348</v>
      </c>
      <c r="C3" t="s">
        <v>582</v>
      </c>
      <c r="D3" s="2" t="s">
        <v>589</v>
      </c>
      <c r="E3" s="1" t="s">
        <v>593</v>
      </c>
      <c r="F3" s="3">
        <v>149</v>
      </c>
      <c r="G3" s="4">
        <v>100000</v>
      </c>
      <c r="H3" s="5">
        <v>129</v>
      </c>
      <c r="I3" s="6">
        <v>45778</v>
      </c>
      <c r="J3" s="2" t="s">
        <v>598</v>
      </c>
      <c r="K3" s="15">
        <f>PRODUCT(Table24[[#This Row],[Ticket Price]],Table24[[#This Row],[Passenger Count]])</f>
        <v>12900000</v>
      </c>
      <c r="L3" s="15">
        <f>Table24[[#This Row],[Revenue]]*(1-$Q$2)</f>
        <v>11610000</v>
      </c>
      <c r="M3" t="str">
        <f t="shared" ref="M3:M65" si="0">IF(F3&lt;=10,"On Time",IF(F3&lt;=30,"Slight Delay","Late"))</f>
        <v>Late</v>
      </c>
      <c r="Q3" s="18"/>
      <c r="R3" s="15"/>
    </row>
    <row r="4" spans="1:20" x14ac:dyDescent="0.35">
      <c r="A4" t="s">
        <v>601</v>
      </c>
      <c r="B4" t="s">
        <v>349</v>
      </c>
      <c r="C4" t="s">
        <v>581</v>
      </c>
      <c r="D4" s="2" t="s">
        <v>584</v>
      </c>
      <c r="E4" s="1" t="s">
        <v>594</v>
      </c>
      <c r="F4" s="3">
        <v>127</v>
      </c>
      <c r="G4" s="4">
        <v>70000</v>
      </c>
      <c r="H4" s="5">
        <v>125</v>
      </c>
      <c r="I4" s="6">
        <v>45670</v>
      </c>
      <c r="J4" s="2" t="s">
        <v>597</v>
      </c>
      <c r="K4" s="15">
        <f>PRODUCT(Table24[[#This Row],[Ticket Price]],Table24[[#This Row],[Passenger Count]])</f>
        <v>8750000</v>
      </c>
      <c r="L4" s="15">
        <f>Table24[[#This Row],[Revenue]]*(1-$Q$2)</f>
        <v>7875000</v>
      </c>
      <c r="M4" t="str">
        <f t="shared" si="0"/>
        <v>Late</v>
      </c>
    </row>
    <row r="5" spans="1:20" x14ac:dyDescent="0.35">
      <c r="A5" t="s">
        <v>3</v>
      </c>
      <c r="B5" t="s">
        <v>350</v>
      </c>
      <c r="C5" t="s">
        <v>583</v>
      </c>
      <c r="D5" s="2" t="s">
        <v>587</v>
      </c>
      <c r="E5" s="1" t="s">
        <v>595</v>
      </c>
      <c r="F5" s="3">
        <v>-4</v>
      </c>
      <c r="G5" s="4">
        <v>65000</v>
      </c>
      <c r="H5" s="5">
        <v>88</v>
      </c>
      <c r="I5" s="6">
        <v>45742</v>
      </c>
      <c r="J5" s="2" t="s">
        <v>597</v>
      </c>
      <c r="K5" s="15">
        <f>PRODUCT(Table24[[#This Row],[Ticket Price]],Table24[[#This Row],[Passenger Count]])</f>
        <v>5720000</v>
      </c>
      <c r="L5" s="15">
        <f>Table24[[#This Row],[Revenue]]*(1-$Q$2)</f>
        <v>5148000</v>
      </c>
      <c r="M5" t="str">
        <f t="shared" si="0"/>
        <v>On Time</v>
      </c>
      <c r="Q5" s="36" t="s">
        <v>618</v>
      </c>
      <c r="R5" s="36"/>
    </row>
    <row r="6" spans="1:20" x14ac:dyDescent="0.35">
      <c r="A6" t="s">
        <v>4</v>
      </c>
      <c r="B6" t="s">
        <v>351</v>
      </c>
      <c r="C6" t="s">
        <v>584</v>
      </c>
      <c r="D6" s="2" t="s">
        <v>582</v>
      </c>
      <c r="E6" s="1" t="s">
        <v>592</v>
      </c>
      <c r="F6" s="3">
        <v>161</v>
      </c>
      <c r="G6" s="4">
        <v>130000</v>
      </c>
      <c r="H6" s="5">
        <v>159</v>
      </c>
      <c r="I6" s="6">
        <v>45742</v>
      </c>
      <c r="J6" s="2" t="s">
        <v>597</v>
      </c>
      <c r="K6" s="15">
        <f>PRODUCT(Table24[[#This Row],[Ticket Price]],Table24[[#This Row],[Passenger Count]])</f>
        <v>20670000</v>
      </c>
      <c r="L6" s="15">
        <f>Table24[[#This Row],[Revenue]]*(1-$Q$2)</f>
        <v>18603000</v>
      </c>
      <c r="M6" t="str">
        <f t="shared" si="0"/>
        <v>Late</v>
      </c>
      <c r="Q6" s="21" t="s">
        <v>604</v>
      </c>
      <c r="R6" s="21" t="s">
        <v>609</v>
      </c>
    </row>
    <row r="7" spans="1:20" x14ac:dyDescent="0.35">
      <c r="A7" t="s">
        <v>5</v>
      </c>
      <c r="B7" t="s">
        <v>352</v>
      </c>
      <c r="C7" t="s">
        <v>584</v>
      </c>
      <c r="D7" s="2" t="s">
        <v>590</v>
      </c>
      <c r="E7" s="1" t="s">
        <v>596</v>
      </c>
      <c r="F7" s="3">
        <v>112</v>
      </c>
      <c r="G7" s="4">
        <v>40000</v>
      </c>
      <c r="H7" s="5">
        <v>84</v>
      </c>
      <c r="I7" s="6">
        <v>45688</v>
      </c>
      <c r="J7" s="2" t="s">
        <v>598</v>
      </c>
      <c r="K7" s="15">
        <f>PRODUCT(Table24[[#This Row],[Ticket Price]],Table24[[#This Row],[Passenger Count]])</f>
        <v>3360000</v>
      </c>
      <c r="L7" s="15">
        <f>Table24[[#This Row],[Revenue]]*(1-$Q$2)</f>
        <v>3024000</v>
      </c>
      <c r="M7" t="str">
        <f t="shared" si="0"/>
        <v>Late</v>
      </c>
      <c r="Q7" s="22" t="s">
        <v>375</v>
      </c>
      <c r="R7" s="23">
        <f>VLOOKUP(Q7,B:M,6,0)</f>
        <v>90000</v>
      </c>
    </row>
    <row r="8" spans="1:20" x14ac:dyDescent="0.35">
      <c r="A8" t="s">
        <v>6</v>
      </c>
      <c r="B8" t="s">
        <v>353</v>
      </c>
      <c r="C8" t="s">
        <v>583</v>
      </c>
      <c r="D8" s="2" t="s">
        <v>591</v>
      </c>
      <c r="E8" s="1" t="s">
        <v>593</v>
      </c>
      <c r="F8" s="3">
        <v>107</v>
      </c>
      <c r="G8" s="4">
        <v>145000</v>
      </c>
      <c r="H8" s="5">
        <v>60</v>
      </c>
      <c r="I8" s="6">
        <v>45733</v>
      </c>
      <c r="J8" s="2" t="s">
        <v>597</v>
      </c>
      <c r="K8" s="15">
        <f>PRODUCT(Table24[[#This Row],[Ticket Price]],Table24[[#This Row],[Passenger Count]])</f>
        <v>8700000</v>
      </c>
      <c r="L8" s="15">
        <f>Table24[[#This Row],[Revenue]]*(1-$Q$2)</f>
        <v>7830000</v>
      </c>
      <c r="M8" t="str">
        <f t="shared" si="0"/>
        <v>Late</v>
      </c>
    </row>
    <row r="9" spans="1:20" x14ac:dyDescent="0.35">
      <c r="A9" t="s">
        <v>602</v>
      </c>
      <c r="B9" t="s">
        <v>354</v>
      </c>
      <c r="C9" t="s">
        <v>585</v>
      </c>
      <c r="D9" s="2" t="s">
        <v>584</v>
      </c>
      <c r="E9" s="1" t="s">
        <v>593</v>
      </c>
      <c r="F9" s="3">
        <v>73</v>
      </c>
      <c r="G9" s="4">
        <v>60000</v>
      </c>
      <c r="H9" s="5">
        <v>175</v>
      </c>
      <c r="I9" s="6">
        <v>45707</v>
      </c>
      <c r="J9" s="2" t="s">
        <v>598</v>
      </c>
      <c r="K9" s="15">
        <f>PRODUCT(Table24[[#This Row],[Ticket Price]],Table24[[#This Row],[Passenger Count]])</f>
        <v>10500000</v>
      </c>
      <c r="L9" s="15">
        <f>Table24[[#This Row],[Revenue]]*(1-$Q$2)</f>
        <v>9450000</v>
      </c>
      <c r="M9" t="str">
        <f t="shared" si="0"/>
        <v>Late</v>
      </c>
    </row>
    <row r="10" spans="1:20" x14ac:dyDescent="0.35">
      <c r="A10" t="s">
        <v>7</v>
      </c>
      <c r="B10" t="s">
        <v>355</v>
      </c>
      <c r="C10" t="s">
        <v>584</v>
      </c>
      <c r="D10" s="2" t="s">
        <v>585</v>
      </c>
      <c r="E10" s="1" t="s">
        <v>596</v>
      </c>
      <c r="F10" s="3">
        <v>148</v>
      </c>
      <c r="G10" s="4">
        <v>35000</v>
      </c>
      <c r="H10" s="5">
        <v>149</v>
      </c>
      <c r="I10" s="6">
        <v>45837</v>
      </c>
      <c r="J10" s="2" t="s">
        <v>598</v>
      </c>
      <c r="K10" s="15">
        <f>PRODUCT(Table24[[#This Row],[Ticket Price]],Table24[[#This Row],[Passenger Count]])</f>
        <v>5215000</v>
      </c>
      <c r="L10" s="15">
        <f>Table24[[#This Row],[Revenue]]*(1-$Q$2)</f>
        <v>4693500</v>
      </c>
      <c r="M10" t="str">
        <f>IF(F10&lt;=10,"On Time",IF(F10&lt;=30,"Slight Delay","Late"))</f>
        <v>Late</v>
      </c>
      <c r="Q10" s="36" t="s">
        <v>619</v>
      </c>
      <c r="R10" s="36"/>
    </row>
    <row r="11" spans="1:20" x14ac:dyDescent="0.35">
      <c r="A11" t="s">
        <v>8</v>
      </c>
      <c r="B11" t="s">
        <v>356</v>
      </c>
      <c r="C11" t="s">
        <v>581</v>
      </c>
      <c r="D11" s="2" t="s">
        <v>589</v>
      </c>
      <c r="E11" s="1" t="s">
        <v>592</v>
      </c>
      <c r="F11" s="3">
        <v>98</v>
      </c>
      <c r="G11" s="4">
        <v>75000</v>
      </c>
      <c r="H11" s="5">
        <v>131</v>
      </c>
      <c r="I11" s="6">
        <v>45702</v>
      </c>
      <c r="J11" s="2" t="s">
        <v>598</v>
      </c>
      <c r="K11" s="15">
        <f>PRODUCT(Table24[[#This Row],[Ticket Price]],Table24[[#This Row],[Passenger Count]])</f>
        <v>9825000</v>
      </c>
      <c r="L11" s="15">
        <f>Table24[[#This Row],[Revenue]]*(1-$Q$2)</f>
        <v>8842500</v>
      </c>
      <c r="M11" t="str">
        <f t="shared" si="0"/>
        <v>Late</v>
      </c>
      <c r="Q11" s="21" t="s">
        <v>604</v>
      </c>
      <c r="R11" s="21" t="s">
        <v>609</v>
      </c>
    </row>
    <row r="12" spans="1:20" x14ac:dyDescent="0.35">
      <c r="A12" t="s">
        <v>9</v>
      </c>
      <c r="B12" t="s">
        <v>357</v>
      </c>
      <c r="C12" t="s">
        <v>583</v>
      </c>
      <c r="D12" s="2" t="s">
        <v>590</v>
      </c>
      <c r="E12" s="1" t="s">
        <v>593</v>
      </c>
      <c r="F12" s="3">
        <v>75</v>
      </c>
      <c r="G12" s="4">
        <v>30000</v>
      </c>
      <c r="H12" s="5">
        <v>96</v>
      </c>
      <c r="I12" s="6">
        <v>45747</v>
      </c>
      <c r="J12" s="2" t="s">
        <v>597</v>
      </c>
      <c r="K12" s="15">
        <f>PRODUCT(Table24[[#This Row],[Ticket Price]],Table24[[#This Row],[Passenger Count]])</f>
        <v>2880000</v>
      </c>
      <c r="L12" s="15">
        <f>Table24[[#This Row],[Revenue]]*(1-$Q$2)</f>
        <v>2592000</v>
      </c>
      <c r="M12" t="str">
        <f t="shared" si="0"/>
        <v>Late</v>
      </c>
      <c r="Q12" s="22" t="s">
        <v>375</v>
      </c>
      <c r="R12" s="23">
        <f>_xlfn.XLOOKUP(Q12,B:B,G:G,"Not found",0)</f>
        <v>90000</v>
      </c>
    </row>
    <row r="13" spans="1:20" x14ac:dyDescent="0.35">
      <c r="A13" t="s">
        <v>10</v>
      </c>
      <c r="B13" t="s">
        <v>358</v>
      </c>
      <c r="C13" t="s">
        <v>585</v>
      </c>
      <c r="D13" s="2" t="s">
        <v>591</v>
      </c>
      <c r="E13" s="1" t="s">
        <v>596</v>
      </c>
      <c r="F13" s="3">
        <v>33</v>
      </c>
      <c r="G13" s="4">
        <v>145000</v>
      </c>
      <c r="H13" s="5">
        <v>159</v>
      </c>
      <c r="I13" s="6">
        <v>45782</v>
      </c>
      <c r="J13" s="2" t="s">
        <v>597</v>
      </c>
      <c r="K13" s="15">
        <f>PRODUCT(Table24[[#This Row],[Ticket Price]],Table24[[#This Row],[Passenger Count]])</f>
        <v>23055000</v>
      </c>
      <c r="L13" s="15">
        <f>Table24[[#This Row],[Revenue]]*(1-$Q$2)</f>
        <v>20749500</v>
      </c>
      <c r="M13" t="str">
        <f t="shared" si="0"/>
        <v>Late</v>
      </c>
    </row>
    <row r="14" spans="1:20" x14ac:dyDescent="0.35">
      <c r="A14" t="s">
        <v>11</v>
      </c>
      <c r="B14" t="s">
        <v>359</v>
      </c>
      <c r="C14" t="s">
        <v>586</v>
      </c>
      <c r="D14" s="2" t="s">
        <v>585</v>
      </c>
      <c r="E14" s="1" t="s">
        <v>596</v>
      </c>
      <c r="F14" s="3">
        <v>164</v>
      </c>
      <c r="G14" s="4">
        <v>140000</v>
      </c>
      <c r="H14" s="5">
        <v>103</v>
      </c>
      <c r="I14" s="6">
        <v>45755</v>
      </c>
      <c r="J14" s="2" t="s">
        <v>597</v>
      </c>
      <c r="K14" s="15">
        <f>PRODUCT(Table24[[#This Row],[Ticket Price]],Table24[[#This Row],[Passenger Count]])</f>
        <v>14420000</v>
      </c>
      <c r="L14" s="15">
        <f>Table24[[#This Row],[Revenue]]*(1-$Q$2)</f>
        <v>12978000</v>
      </c>
      <c r="M14" t="str">
        <f t="shared" si="0"/>
        <v>Late</v>
      </c>
    </row>
    <row r="15" spans="1:20" x14ac:dyDescent="0.35">
      <c r="A15" t="s">
        <v>12</v>
      </c>
      <c r="B15" t="s">
        <v>360</v>
      </c>
      <c r="C15" t="s">
        <v>585</v>
      </c>
      <c r="D15" s="2" t="s">
        <v>582</v>
      </c>
      <c r="E15" s="1" t="s">
        <v>592</v>
      </c>
      <c r="F15" s="3">
        <v>138</v>
      </c>
      <c r="G15" s="4">
        <v>145000</v>
      </c>
      <c r="H15" s="5">
        <v>141</v>
      </c>
      <c r="I15" s="6">
        <v>45811</v>
      </c>
      <c r="J15" s="2" t="s">
        <v>597</v>
      </c>
      <c r="K15" s="15">
        <f>PRODUCT(Table24[[#This Row],[Ticket Price]],Table24[[#This Row],[Passenger Count]])</f>
        <v>20445000</v>
      </c>
      <c r="L15" s="15">
        <f>Table24[[#This Row],[Revenue]]*(1-$Q$2)</f>
        <v>18400500</v>
      </c>
      <c r="M15" t="str">
        <f t="shared" si="0"/>
        <v>Late</v>
      </c>
      <c r="Q15" s="36" t="s">
        <v>621</v>
      </c>
      <c r="R15" s="36"/>
    </row>
    <row r="16" spans="1:20" x14ac:dyDescent="0.35">
      <c r="A16" t="s">
        <v>13</v>
      </c>
      <c r="B16" t="s">
        <v>361</v>
      </c>
      <c r="C16" t="s">
        <v>585</v>
      </c>
      <c r="D16" s="2" t="s">
        <v>590</v>
      </c>
      <c r="E16" s="1" t="s">
        <v>592</v>
      </c>
      <c r="F16" s="3">
        <v>45</v>
      </c>
      <c r="G16" s="4">
        <v>100000</v>
      </c>
      <c r="H16" s="5">
        <v>121</v>
      </c>
      <c r="I16" s="6">
        <v>45813</v>
      </c>
      <c r="J16" s="2" t="s">
        <v>598</v>
      </c>
      <c r="K16" s="15">
        <f>PRODUCT(Table24[[#This Row],[Ticket Price]],Table24[[#This Row],[Passenger Count]])</f>
        <v>12100000</v>
      </c>
      <c r="L16" s="15">
        <f>Table24[[#This Row],[Revenue]]*(1-$Q$2)</f>
        <v>10890000</v>
      </c>
      <c r="M16" t="str">
        <f t="shared" si="0"/>
        <v>Late</v>
      </c>
      <c r="Q16" s="21" t="s">
        <v>604</v>
      </c>
      <c r="R16" s="21" t="s">
        <v>609</v>
      </c>
    </row>
    <row r="17" spans="1:18" x14ac:dyDescent="0.35">
      <c r="A17" t="s">
        <v>599</v>
      </c>
      <c r="B17" t="s">
        <v>362</v>
      </c>
      <c r="C17" t="s">
        <v>581</v>
      </c>
      <c r="D17" s="2" t="s">
        <v>583</v>
      </c>
      <c r="E17" s="1" t="s">
        <v>593</v>
      </c>
      <c r="F17" s="3">
        <v>22</v>
      </c>
      <c r="G17" s="4">
        <v>90000</v>
      </c>
      <c r="H17" s="5">
        <v>72</v>
      </c>
      <c r="I17" s="6">
        <v>45724</v>
      </c>
      <c r="J17" s="2" t="s">
        <v>597</v>
      </c>
      <c r="K17" s="15">
        <f>PRODUCT(Table24[[#This Row],[Ticket Price]],Table24[[#This Row],[Passenger Count]])</f>
        <v>6480000</v>
      </c>
      <c r="L17" s="15">
        <f>Table24[[#This Row],[Revenue]]*(1-$Q$2)</f>
        <v>5832000</v>
      </c>
      <c r="M17" t="str">
        <f t="shared" si="0"/>
        <v>Slight Delay</v>
      </c>
      <c r="Q17" s="22" t="s">
        <v>347</v>
      </c>
      <c r="R17" s="23">
        <f>INDEX(Table24[],1,7)</f>
        <v>140000</v>
      </c>
    </row>
    <row r="18" spans="1:18" x14ac:dyDescent="0.35">
      <c r="A18" t="s">
        <v>14</v>
      </c>
      <c r="B18" t="s">
        <v>363</v>
      </c>
      <c r="C18" t="s">
        <v>584</v>
      </c>
      <c r="D18" s="2" t="s">
        <v>587</v>
      </c>
      <c r="E18" s="1" t="s">
        <v>595</v>
      </c>
      <c r="F18" s="3">
        <v>15</v>
      </c>
      <c r="G18" s="4">
        <v>70000</v>
      </c>
      <c r="H18" s="5">
        <v>71</v>
      </c>
      <c r="I18" s="6">
        <v>45776</v>
      </c>
      <c r="J18" s="2" t="s">
        <v>598</v>
      </c>
      <c r="K18" s="15">
        <f>PRODUCT(Table24[[#This Row],[Ticket Price]],Table24[[#This Row],[Passenger Count]])</f>
        <v>4970000</v>
      </c>
      <c r="L18" s="15">
        <f>Table24[[#This Row],[Revenue]]*(1-$Q$2)</f>
        <v>4473000</v>
      </c>
      <c r="M18" t="str">
        <f t="shared" si="0"/>
        <v>Slight Delay</v>
      </c>
    </row>
    <row r="19" spans="1:18" x14ac:dyDescent="0.35">
      <c r="A19" t="s">
        <v>15</v>
      </c>
      <c r="B19" t="s">
        <v>364</v>
      </c>
      <c r="C19" t="s">
        <v>586</v>
      </c>
      <c r="D19" s="2" t="s">
        <v>583</v>
      </c>
      <c r="E19" s="1" t="s">
        <v>593</v>
      </c>
      <c r="F19" s="3">
        <v>102</v>
      </c>
      <c r="G19" s="4">
        <v>30000</v>
      </c>
      <c r="H19" s="5">
        <v>118</v>
      </c>
      <c r="I19" s="6">
        <v>45787</v>
      </c>
      <c r="J19" s="2" t="s">
        <v>597</v>
      </c>
      <c r="K19" s="15">
        <f>PRODUCT(Table24[[#This Row],[Ticket Price]],Table24[[#This Row],[Passenger Count]])</f>
        <v>3540000</v>
      </c>
      <c r="L19" s="15">
        <f>Table24[[#This Row],[Revenue]]*(1-$Q$2)</f>
        <v>3186000</v>
      </c>
      <c r="M19" t="str">
        <f t="shared" si="0"/>
        <v>Late</v>
      </c>
    </row>
    <row r="20" spans="1:18" x14ac:dyDescent="0.35">
      <c r="A20" t="s">
        <v>16</v>
      </c>
      <c r="B20" t="s">
        <v>365</v>
      </c>
      <c r="C20" t="s">
        <v>586</v>
      </c>
      <c r="D20" s="2" t="s">
        <v>582</v>
      </c>
      <c r="E20" s="1" t="s">
        <v>595</v>
      </c>
      <c r="F20" s="3">
        <v>90</v>
      </c>
      <c r="G20" s="4">
        <v>60000</v>
      </c>
      <c r="H20" s="5">
        <v>171</v>
      </c>
      <c r="I20" s="6">
        <v>45735</v>
      </c>
      <c r="J20" s="2" t="s">
        <v>597</v>
      </c>
      <c r="K20" s="15">
        <f>PRODUCT(Table24[[#This Row],[Ticket Price]],Table24[[#This Row],[Passenger Count]])</f>
        <v>10260000</v>
      </c>
      <c r="L20" s="15">
        <f>Table24[[#This Row],[Revenue]]*(1-$Q$2)</f>
        <v>9234000</v>
      </c>
      <c r="M20" t="str">
        <f t="shared" si="0"/>
        <v>Late</v>
      </c>
      <c r="Q20" s="36" t="s">
        <v>620</v>
      </c>
      <c r="R20" s="36"/>
    </row>
    <row r="21" spans="1:18" x14ac:dyDescent="0.35">
      <c r="A21" t="s">
        <v>17</v>
      </c>
      <c r="B21" t="s">
        <v>366</v>
      </c>
      <c r="C21" t="s">
        <v>586</v>
      </c>
      <c r="D21" s="2" t="s">
        <v>584</v>
      </c>
      <c r="E21" s="1" t="s">
        <v>594</v>
      </c>
      <c r="F21" s="3">
        <v>34</v>
      </c>
      <c r="G21" s="4">
        <v>75000</v>
      </c>
      <c r="H21" s="5">
        <v>67</v>
      </c>
      <c r="I21" s="6">
        <v>45692</v>
      </c>
      <c r="J21" s="2" t="s">
        <v>598</v>
      </c>
      <c r="K21" s="15">
        <f>PRODUCT(Table24[[#This Row],[Ticket Price]],Table24[[#This Row],[Passenger Count]])</f>
        <v>5025000</v>
      </c>
      <c r="L21" s="15">
        <f>Table24[[#This Row],[Revenue]]*(1-$Q$2)</f>
        <v>4522500</v>
      </c>
      <c r="M21" t="str">
        <f t="shared" si="0"/>
        <v>Late</v>
      </c>
      <c r="Q21" s="21" t="s">
        <v>604</v>
      </c>
      <c r="R21" s="24" t="s">
        <v>610</v>
      </c>
    </row>
    <row r="22" spans="1:18" x14ac:dyDescent="0.35">
      <c r="A22" t="s">
        <v>18</v>
      </c>
      <c r="B22" t="s">
        <v>367</v>
      </c>
      <c r="C22" t="s">
        <v>584</v>
      </c>
      <c r="D22" s="2" t="s">
        <v>587</v>
      </c>
      <c r="E22" s="1" t="s">
        <v>596</v>
      </c>
      <c r="F22" s="3">
        <v>97</v>
      </c>
      <c r="G22" s="4">
        <v>135000</v>
      </c>
      <c r="H22" s="5">
        <v>70</v>
      </c>
      <c r="I22" s="6">
        <v>45764</v>
      </c>
      <c r="J22" s="2" t="s">
        <v>597</v>
      </c>
      <c r="K22" s="15">
        <f>PRODUCT(Table24[[#This Row],[Ticket Price]],Table24[[#This Row],[Passenger Count]])</f>
        <v>9450000</v>
      </c>
      <c r="L22" s="15">
        <f>Table24[[#This Row],[Revenue]]*(1-$Q$2)</f>
        <v>8505000</v>
      </c>
      <c r="M22" t="str">
        <f t="shared" si="0"/>
        <v>Late</v>
      </c>
      <c r="Q22" s="22" t="s">
        <v>375</v>
      </c>
      <c r="R22" s="23">
        <f>INDEX(Table24[],MATCH(Q22,Table24[Flight Number],0),MATCH(R21,Table24[#Headers],0))</f>
        <v>164</v>
      </c>
    </row>
    <row r="23" spans="1:18" x14ac:dyDescent="0.35">
      <c r="A23" t="s">
        <v>19</v>
      </c>
      <c r="B23" t="s">
        <v>368</v>
      </c>
      <c r="C23" t="s">
        <v>585</v>
      </c>
      <c r="D23" s="2" t="s">
        <v>590</v>
      </c>
      <c r="E23" s="1" t="s">
        <v>592</v>
      </c>
      <c r="F23" s="3">
        <v>136</v>
      </c>
      <c r="G23" s="4">
        <v>55000</v>
      </c>
      <c r="H23" s="5">
        <v>92</v>
      </c>
      <c r="I23" s="6">
        <v>45728</v>
      </c>
      <c r="J23" s="2" t="s">
        <v>598</v>
      </c>
      <c r="K23" s="15">
        <f>PRODUCT(Table24[[#This Row],[Ticket Price]],Table24[[#This Row],[Passenger Count]])</f>
        <v>5060000</v>
      </c>
      <c r="L23" s="15">
        <f>Table24[[#This Row],[Revenue]]*(1-$Q$2)</f>
        <v>4554000</v>
      </c>
      <c r="M23" t="str">
        <f t="shared" si="0"/>
        <v>Late</v>
      </c>
    </row>
    <row r="24" spans="1:18" x14ac:dyDescent="0.35">
      <c r="A24" t="s">
        <v>20</v>
      </c>
      <c r="B24" t="s">
        <v>369</v>
      </c>
      <c r="C24" t="s">
        <v>584</v>
      </c>
      <c r="D24" s="2" t="s">
        <v>587</v>
      </c>
      <c r="E24" s="1" t="s">
        <v>596</v>
      </c>
      <c r="F24" s="3">
        <v>164</v>
      </c>
      <c r="G24" s="4">
        <v>85000</v>
      </c>
      <c r="H24" s="5">
        <v>165</v>
      </c>
      <c r="I24" s="6">
        <v>45807</v>
      </c>
      <c r="J24" s="2" t="s">
        <v>598</v>
      </c>
      <c r="K24" s="15">
        <f>PRODUCT(Table24[[#This Row],[Ticket Price]],Table24[[#This Row],[Passenger Count]])</f>
        <v>14025000</v>
      </c>
      <c r="L24" s="15">
        <f>Table24[[#This Row],[Revenue]]*(1-$Q$2)</f>
        <v>12622500</v>
      </c>
      <c r="M24" t="str">
        <f t="shared" si="0"/>
        <v>Late</v>
      </c>
    </row>
    <row r="25" spans="1:18" x14ac:dyDescent="0.35">
      <c r="A25" t="s">
        <v>21</v>
      </c>
      <c r="B25" t="s">
        <v>370</v>
      </c>
      <c r="C25" t="s">
        <v>582</v>
      </c>
      <c r="D25" s="2" t="s">
        <v>589</v>
      </c>
      <c r="E25" s="1" t="s">
        <v>593</v>
      </c>
      <c r="F25" s="3">
        <v>68</v>
      </c>
      <c r="G25" s="4">
        <v>135000</v>
      </c>
      <c r="H25" s="5">
        <v>177</v>
      </c>
      <c r="I25" s="6">
        <v>45817</v>
      </c>
      <c r="J25" s="2" t="s">
        <v>597</v>
      </c>
      <c r="K25" s="15">
        <f>PRODUCT(Table24[[#This Row],[Ticket Price]],Table24[[#This Row],[Passenger Count]])</f>
        <v>23895000</v>
      </c>
      <c r="L25" s="15">
        <f>Table24[[#This Row],[Revenue]]*(1-$Q$2)</f>
        <v>21505500</v>
      </c>
      <c r="M25" t="str">
        <f t="shared" si="0"/>
        <v>Late</v>
      </c>
    </row>
    <row r="26" spans="1:18" x14ac:dyDescent="0.35">
      <c r="A26" t="s">
        <v>22</v>
      </c>
      <c r="B26" t="s">
        <v>371</v>
      </c>
      <c r="C26" t="s">
        <v>586</v>
      </c>
      <c r="D26" s="2" t="s">
        <v>585</v>
      </c>
      <c r="E26" s="1" t="s">
        <v>596</v>
      </c>
      <c r="F26" s="3">
        <v>144</v>
      </c>
      <c r="G26" s="4">
        <v>135000</v>
      </c>
      <c r="H26" s="5">
        <v>167</v>
      </c>
      <c r="I26" s="6">
        <v>45769</v>
      </c>
      <c r="J26" s="2" t="s">
        <v>597</v>
      </c>
      <c r="K26" s="15">
        <f>PRODUCT(Table24[[#This Row],[Ticket Price]],Table24[[#This Row],[Passenger Count]])</f>
        <v>22545000</v>
      </c>
      <c r="L26" s="15">
        <f>Table24[[#This Row],[Revenue]]*(1-$Q$2)</f>
        <v>20290500</v>
      </c>
      <c r="M26" t="str">
        <f t="shared" si="0"/>
        <v>Late</v>
      </c>
      <c r="Q26" s="36" t="s">
        <v>622</v>
      </c>
      <c r="R26" s="36"/>
    </row>
    <row r="27" spans="1:18" x14ac:dyDescent="0.35">
      <c r="A27" t="s">
        <v>23</v>
      </c>
      <c r="B27" t="s">
        <v>372</v>
      </c>
      <c r="C27" t="s">
        <v>582</v>
      </c>
      <c r="D27" s="2" t="s">
        <v>583</v>
      </c>
      <c r="E27" s="1" t="s">
        <v>595</v>
      </c>
      <c r="F27" s="3">
        <v>7</v>
      </c>
      <c r="G27" s="4">
        <v>35000</v>
      </c>
      <c r="H27" s="5">
        <v>78</v>
      </c>
      <c r="I27" s="6">
        <v>45726</v>
      </c>
      <c r="J27" s="2" t="s">
        <v>598</v>
      </c>
      <c r="K27" s="15">
        <f>PRODUCT(Table24[[#This Row],[Ticket Price]],Table24[[#This Row],[Passenger Count]])</f>
        <v>2730000</v>
      </c>
      <c r="L27" s="15">
        <f>Table24[[#This Row],[Revenue]]*(1-$Q$2)</f>
        <v>2457000</v>
      </c>
      <c r="M27" t="str">
        <f t="shared" si="0"/>
        <v>On Time</v>
      </c>
      <c r="Q27" s="22" t="s">
        <v>624</v>
      </c>
      <c r="R27" s="25">
        <f>SUBTOTAL(9,Table24[Passenger Count])</f>
        <v>41724</v>
      </c>
    </row>
    <row r="28" spans="1:18" x14ac:dyDescent="0.35">
      <c r="A28" t="s">
        <v>24</v>
      </c>
      <c r="B28" t="s">
        <v>373</v>
      </c>
      <c r="C28" t="s">
        <v>584</v>
      </c>
      <c r="D28" s="2" t="s">
        <v>587</v>
      </c>
      <c r="E28" s="1" t="s">
        <v>593</v>
      </c>
      <c r="F28" s="3">
        <v>122</v>
      </c>
      <c r="G28" s="4">
        <v>25000</v>
      </c>
      <c r="H28" s="5">
        <v>177</v>
      </c>
      <c r="I28" s="6">
        <v>45696</v>
      </c>
      <c r="J28" s="2" t="s">
        <v>598</v>
      </c>
      <c r="K28" s="15">
        <f>PRODUCT(Table24[[#This Row],[Ticket Price]],Table24[[#This Row],[Passenger Count]])</f>
        <v>4425000</v>
      </c>
      <c r="L28" s="15">
        <f>Table24[[#This Row],[Revenue]]*(1-$Q$2)</f>
        <v>3982500</v>
      </c>
      <c r="M28" t="str">
        <f t="shared" si="0"/>
        <v>Late</v>
      </c>
      <c r="Q28" s="22" t="s">
        <v>623</v>
      </c>
      <c r="R28" s="25">
        <f>_xlfn.AGGREGATE(9,3,Table24[Passenger Count])</f>
        <v>41724</v>
      </c>
    </row>
    <row r="29" spans="1:18" x14ac:dyDescent="0.35">
      <c r="A29" t="s">
        <v>25</v>
      </c>
      <c r="B29" t="s">
        <v>374</v>
      </c>
      <c r="C29" t="s">
        <v>585</v>
      </c>
      <c r="D29" s="2" t="s">
        <v>591</v>
      </c>
      <c r="E29" s="1" t="s">
        <v>594</v>
      </c>
      <c r="F29" s="3">
        <v>6</v>
      </c>
      <c r="G29" s="4">
        <v>125000</v>
      </c>
      <c r="H29" s="5">
        <v>117</v>
      </c>
      <c r="I29" s="6">
        <v>45663</v>
      </c>
      <c r="J29" s="2" t="s">
        <v>597</v>
      </c>
      <c r="K29" s="15">
        <f>PRODUCT(Table24[[#This Row],[Ticket Price]],Table24[[#This Row],[Passenger Count]])</f>
        <v>14625000</v>
      </c>
      <c r="L29" s="15">
        <f>Table24[[#This Row],[Revenue]]*(1-$Q$2)</f>
        <v>13162500</v>
      </c>
      <c r="M29" t="str">
        <f t="shared" si="0"/>
        <v>On Time</v>
      </c>
    </row>
    <row r="30" spans="1:18" x14ac:dyDescent="0.35">
      <c r="A30" t="s">
        <v>26</v>
      </c>
      <c r="B30" t="s">
        <v>375</v>
      </c>
      <c r="C30" t="s">
        <v>587</v>
      </c>
      <c r="D30" s="2" t="s">
        <v>591</v>
      </c>
      <c r="E30" s="1" t="s">
        <v>594</v>
      </c>
      <c r="F30" s="3">
        <v>128</v>
      </c>
      <c r="G30" s="4">
        <v>90000</v>
      </c>
      <c r="H30" s="5">
        <v>164</v>
      </c>
      <c r="I30" s="6">
        <v>45804</v>
      </c>
      <c r="J30" s="2" t="s">
        <v>597</v>
      </c>
      <c r="K30" s="15">
        <f>PRODUCT(Table24[[#This Row],[Ticket Price]],Table24[[#This Row],[Passenger Count]])</f>
        <v>14760000</v>
      </c>
      <c r="L30" s="15">
        <f>Table24[[#This Row],[Revenue]]*(1-$Q$2)</f>
        <v>13284000</v>
      </c>
      <c r="M30" t="str">
        <f t="shared" si="0"/>
        <v>Late</v>
      </c>
    </row>
    <row r="31" spans="1:18" x14ac:dyDescent="0.35">
      <c r="A31" t="s">
        <v>27</v>
      </c>
      <c r="B31" t="s">
        <v>376</v>
      </c>
      <c r="C31" t="s">
        <v>582</v>
      </c>
      <c r="D31" s="2" t="s">
        <v>583</v>
      </c>
      <c r="E31" s="1" t="s">
        <v>594</v>
      </c>
      <c r="F31" s="3">
        <v>41</v>
      </c>
      <c r="G31" s="4">
        <v>30000</v>
      </c>
      <c r="H31" s="5">
        <v>88</v>
      </c>
      <c r="I31" s="6">
        <v>45819</v>
      </c>
      <c r="J31" s="2" t="s">
        <v>597</v>
      </c>
      <c r="K31" s="15">
        <f>PRODUCT(Table24[[#This Row],[Ticket Price]],Table24[[#This Row],[Passenger Count]])</f>
        <v>2640000</v>
      </c>
      <c r="L31" s="15">
        <f>Table24[[#This Row],[Revenue]]*(1-$Q$2)</f>
        <v>2376000</v>
      </c>
      <c r="M31" t="str">
        <f t="shared" si="0"/>
        <v>Late</v>
      </c>
      <c r="Q31" s="36" t="s">
        <v>625</v>
      </c>
      <c r="R31" s="36"/>
    </row>
    <row r="32" spans="1:18" x14ac:dyDescent="0.35">
      <c r="A32" t="s">
        <v>28</v>
      </c>
      <c r="B32" t="s">
        <v>377</v>
      </c>
      <c r="C32" t="s">
        <v>584</v>
      </c>
      <c r="D32" s="2" t="s">
        <v>583</v>
      </c>
      <c r="E32" s="1" t="s">
        <v>595</v>
      </c>
      <c r="F32" s="3">
        <v>99</v>
      </c>
      <c r="G32" s="4">
        <v>80000</v>
      </c>
      <c r="H32" s="5">
        <v>77</v>
      </c>
      <c r="I32" s="6">
        <v>45698</v>
      </c>
      <c r="J32" s="2" t="s">
        <v>597</v>
      </c>
      <c r="K32" s="15">
        <f>PRODUCT(Table24[[#This Row],[Ticket Price]],Table24[[#This Row],[Passenger Count]])</f>
        <v>6160000</v>
      </c>
      <c r="L32" s="15">
        <f>Table24[[#This Row],[Revenue]]*(1-$Q$2)</f>
        <v>5544000</v>
      </c>
      <c r="M32" t="str">
        <f t="shared" si="0"/>
        <v>Late</v>
      </c>
      <c r="Q32" s="22" t="s">
        <v>624</v>
      </c>
      <c r="R32" s="25">
        <f>SUBTOTAL(1,Table24[Arrival Delay (mins)])</f>
        <v>86.462857142857146</v>
      </c>
    </row>
    <row r="33" spans="1:18" x14ac:dyDescent="0.35">
      <c r="A33" t="s">
        <v>29</v>
      </c>
      <c r="B33" t="s">
        <v>378</v>
      </c>
      <c r="C33" t="s">
        <v>587</v>
      </c>
      <c r="D33" s="2" t="s">
        <v>591</v>
      </c>
      <c r="E33" s="1" t="s">
        <v>595</v>
      </c>
      <c r="F33" s="3">
        <v>4</v>
      </c>
      <c r="G33" s="4">
        <v>140000</v>
      </c>
      <c r="H33" s="5">
        <v>106</v>
      </c>
      <c r="I33" s="6">
        <v>45731</v>
      </c>
      <c r="J33" s="2" t="s">
        <v>597</v>
      </c>
      <c r="K33" s="15">
        <f>PRODUCT(Table24[[#This Row],[Ticket Price]],Table24[[#This Row],[Passenger Count]])</f>
        <v>14840000</v>
      </c>
      <c r="L33" s="15">
        <f>Table24[[#This Row],[Revenue]]*(1-$Q$2)</f>
        <v>13356000</v>
      </c>
      <c r="M33" t="str">
        <f t="shared" si="0"/>
        <v>On Time</v>
      </c>
      <c r="Q33" s="22" t="s">
        <v>623</v>
      </c>
      <c r="R33" s="25">
        <f>_xlfn.AGGREGATE(1,3,Table24[Arrival Delay (mins)])</f>
        <v>86.462857142857146</v>
      </c>
    </row>
    <row r="34" spans="1:18" x14ac:dyDescent="0.35">
      <c r="A34" t="s">
        <v>30</v>
      </c>
      <c r="B34" t="s">
        <v>379</v>
      </c>
      <c r="C34" t="s">
        <v>587</v>
      </c>
      <c r="D34" s="2" t="s">
        <v>583</v>
      </c>
      <c r="E34" s="1" t="s">
        <v>592</v>
      </c>
      <c r="F34" s="3">
        <v>32</v>
      </c>
      <c r="G34" s="4">
        <v>100000</v>
      </c>
      <c r="H34" s="5">
        <v>117</v>
      </c>
      <c r="I34" s="6">
        <v>45803</v>
      </c>
      <c r="J34" s="2" t="s">
        <v>597</v>
      </c>
      <c r="K34" s="15">
        <f>PRODUCT(Table24[[#This Row],[Ticket Price]],Table24[[#This Row],[Passenger Count]])</f>
        <v>11700000</v>
      </c>
      <c r="L34" s="15">
        <f>Table24[[#This Row],[Revenue]]*(1-$Q$2)</f>
        <v>10530000</v>
      </c>
      <c r="M34" t="str">
        <f t="shared" si="0"/>
        <v>Late</v>
      </c>
    </row>
    <row r="35" spans="1:18" x14ac:dyDescent="0.35">
      <c r="A35" t="s">
        <v>31</v>
      </c>
      <c r="B35" t="s">
        <v>380</v>
      </c>
      <c r="C35" t="s">
        <v>581</v>
      </c>
      <c r="D35" s="2" t="s">
        <v>591</v>
      </c>
      <c r="E35" s="1" t="s">
        <v>596</v>
      </c>
      <c r="F35" s="3">
        <v>177</v>
      </c>
      <c r="G35" s="4">
        <v>90000</v>
      </c>
      <c r="H35" s="5">
        <v>153</v>
      </c>
      <c r="I35" s="6">
        <v>45773</v>
      </c>
      <c r="J35" s="2" t="s">
        <v>598</v>
      </c>
      <c r="K35" s="15">
        <f>PRODUCT(Table24[[#This Row],[Ticket Price]],Table24[[#This Row],[Passenger Count]])</f>
        <v>13770000</v>
      </c>
      <c r="L35" s="15">
        <f>Table24[[#This Row],[Revenue]]*(1-$Q$2)</f>
        <v>12393000</v>
      </c>
      <c r="M35" t="str">
        <f t="shared" si="0"/>
        <v>Late</v>
      </c>
    </row>
    <row r="36" spans="1:18" x14ac:dyDescent="0.35">
      <c r="A36" t="s">
        <v>32</v>
      </c>
      <c r="B36" t="s">
        <v>381</v>
      </c>
      <c r="C36" t="s">
        <v>581</v>
      </c>
      <c r="D36" s="2" t="s">
        <v>582</v>
      </c>
      <c r="E36" s="1" t="s">
        <v>593</v>
      </c>
      <c r="F36" s="3">
        <v>110</v>
      </c>
      <c r="G36" s="4">
        <v>25000</v>
      </c>
      <c r="H36" s="5">
        <v>107</v>
      </c>
      <c r="I36" s="6">
        <v>45743</v>
      </c>
      <c r="J36" s="2" t="s">
        <v>598</v>
      </c>
      <c r="K36" s="15">
        <f>PRODUCT(Table24[[#This Row],[Ticket Price]],Table24[[#This Row],[Passenger Count]])</f>
        <v>2675000</v>
      </c>
      <c r="L36" s="15">
        <f>Table24[[#This Row],[Revenue]]*(1-$Q$2)</f>
        <v>2407500</v>
      </c>
      <c r="M36" t="str">
        <f t="shared" si="0"/>
        <v>Late</v>
      </c>
    </row>
    <row r="37" spans="1:18" x14ac:dyDescent="0.35">
      <c r="A37" t="s">
        <v>33</v>
      </c>
      <c r="B37" t="s">
        <v>382</v>
      </c>
      <c r="C37" t="s">
        <v>586</v>
      </c>
      <c r="D37" s="2" t="s">
        <v>584</v>
      </c>
      <c r="E37" s="1" t="s">
        <v>596</v>
      </c>
      <c r="F37" s="3">
        <v>95</v>
      </c>
      <c r="G37" s="4">
        <v>60000</v>
      </c>
      <c r="H37" s="5">
        <v>128</v>
      </c>
      <c r="I37" s="6">
        <v>45750</v>
      </c>
      <c r="J37" s="2" t="s">
        <v>598</v>
      </c>
      <c r="K37" s="15">
        <f>PRODUCT(Table24[[#This Row],[Ticket Price]],Table24[[#This Row],[Passenger Count]])</f>
        <v>7680000</v>
      </c>
      <c r="L37" s="15">
        <f>Table24[[#This Row],[Revenue]]*(1-$Q$2)</f>
        <v>6912000</v>
      </c>
      <c r="M37" t="str">
        <f t="shared" si="0"/>
        <v>Late</v>
      </c>
    </row>
    <row r="38" spans="1:18" x14ac:dyDescent="0.35">
      <c r="A38" t="s">
        <v>34</v>
      </c>
      <c r="B38" t="s">
        <v>348</v>
      </c>
      <c r="C38" t="s">
        <v>582</v>
      </c>
      <c r="D38" s="2" t="s">
        <v>587</v>
      </c>
      <c r="E38" s="1" t="s">
        <v>594</v>
      </c>
      <c r="F38" s="3">
        <v>69</v>
      </c>
      <c r="G38" s="4">
        <v>55000</v>
      </c>
      <c r="H38" s="5">
        <v>176</v>
      </c>
      <c r="I38" s="6">
        <v>45779</v>
      </c>
      <c r="J38" s="2" t="s">
        <v>597</v>
      </c>
      <c r="K38" s="15">
        <f>PRODUCT(Table24[[#This Row],[Ticket Price]],Table24[[#This Row],[Passenger Count]])</f>
        <v>9680000</v>
      </c>
      <c r="L38" s="15">
        <f>Table24[[#This Row],[Revenue]]*(1-$Q$2)</f>
        <v>8712000</v>
      </c>
      <c r="M38" t="str">
        <f t="shared" si="0"/>
        <v>Late</v>
      </c>
    </row>
    <row r="39" spans="1:18" x14ac:dyDescent="0.35">
      <c r="A39" t="s">
        <v>35</v>
      </c>
      <c r="B39" t="s">
        <v>356</v>
      </c>
      <c r="C39" t="s">
        <v>581</v>
      </c>
      <c r="D39" s="2" t="s">
        <v>590</v>
      </c>
      <c r="E39" s="1" t="s">
        <v>593</v>
      </c>
      <c r="F39" s="3">
        <v>34</v>
      </c>
      <c r="G39" s="4">
        <v>130000</v>
      </c>
      <c r="H39" s="5">
        <v>158</v>
      </c>
      <c r="I39" s="6">
        <v>45682</v>
      </c>
      <c r="J39" s="2" t="s">
        <v>597</v>
      </c>
      <c r="K39" s="15">
        <f>PRODUCT(Table24[[#This Row],[Ticket Price]],Table24[[#This Row],[Passenger Count]])</f>
        <v>20540000</v>
      </c>
      <c r="L39" s="15">
        <f>Table24[[#This Row],[Revenue]]*(1-$Q$2)</f>
        <v>18486000</v>
      </c>
      <c r="M39" t="str">
        <f t="shared" si="0"/>
        <v>Late</v>
      </c>
    </row>
    <row r="40" spans="1:18" x14ac:dyDescent="0.35">
      <c r="A40" t="s">
        <v>36</v>
      </c>
      <c r="B40" t="s">
        <v>383</v>
      </c>
      <c r="C40" t="s">
        <v>585</v>
      </c>
      <c r="D40" s="2" t="s">
        <v>590</v>
      </c>
      <c r="E40" s="1" t="s">
        <v>595</v>
      </c>
      <c r="F40" s="3">
        <v>98</v>
      </c>
      <c r="G40" s="4">
        <v>100000</v>
      </c>
      <c r="H40" s="5">
        <v>149</v>
      </c>
      <c r="I40" s="6">
        <v>45772</v>
      </c>
      <c r="J40" s="2" t="s">
        <v>598</v>
      </c>
      <c r="K40" s="15">
        <f>PRODUCT(Table24[[#This Row],[Ticket Price]],Table24[[#This Row],[Passenger Count]])</f>
        <v>14900000</v>
      </c>
      <c r="L40" s="15">
        <f>Table24[[#This Row],[Revenue]]*(1-$Q$2)</f>
        <v>13410000</v>
      </c>
      <c r="M40" t="str">
        <f t="shared" si="0"/>
        <v>Late</v>
      </c>
    </row>
    <row r="41" spans="1:18" x14ac:dyDescent="0.35">
      <c r="A41" t="s">
        <v>37</v>
      </c>
      <c r="B41" t="s">
        <v>384</v>
      </c>
      <c r="C41" t="s">
        <v>584</v>
      </c>
      <c r="D41" s="2" t="s">
        <v>582</v>
      </c>
      <c r="E41" s="1" t="s">
        <v>593</v>
      </c>
      <c r="F41" s="3">
        <v>101</v>
      </c>
      <c r="G41" s="4">
        <v>140000</v>
      </c>
      <c r="H41" s="5">
        <v>142</v>
      </c>
      <c r="I41" s="6">
        <v>45726</v>
      </c>
      <c r="J41" s="2" t="s">
        <v>598</v>
      </c>
      <c r="K41" s="15">
        <f>PRODUCT(Table24[[#This Row],[Ticket Price]],Table24[[#This Row],[Passenger Count]])</f>
        <v>19880000</v>
      </c>
      <c r="L41" s="15">
        <f>Table24[[#This Row],[Revenue]]*(1-$Q$2)</f>
        <v>17892000</v>
      </c>
      <c r="M41" t="str">
        <f t="shared" si="0"/>
        <v>Late</v>
      </c>
    </row>
    <row r="42" spans="1:18" x14ac:dyDescent="0.35">
      <c r="A42" t="s">
        <v>38</v>
      </c>
      <c r="B42" t="s">
        <v>385</v>
      </c>
      <c r="C42" t="s">
        <v>582</v>
      </c>
      <c r="D42" s="2" t="s">
        <v>583</v>
      </c>
      <c r="E42" s="1" t="s">
        <v>592</v>
      </c>
      <c r="F42" s="3">
        <v>94</v>
      </c>
      <c r="G42" s="4">
        <v>105000</v>
      </c>
      <c r="H42" s="5">
        <v>121</v>
      </c>
      <c r="I42" s="6">
        <v>45827</v>
      </c>
      <c r="J42" s="2" t="s">
        <v>597</v>
      </c>
      <c r="K42" s="15">
        <f>PRODUCT(Table24[[#This Row],[Ticket Price]],Table24[[#This Row],[Passenger Count]])</f>
        <v>12705000</v>
      </c>
      <c r="L42" s="15">
        <f>Table24[[#This Row],[Revenue]]*(1-$Q$2)</f>
        <v>11434500</v>
      </c>
      <c r="M42" t="str">
        <f t="shared" si="0"/>
        <v>Late</v>
      </c>
    </row>
    <row r="43" spans="1:18" x14ac:dyDescent="0.35">
      <c r="A43" t="s">
        <v>39</v>
      </c>
      <c r="B43" t="s">
        <v>374</v>
      </c>
      <c r="C43" t="s">
        <v>586</v>
      </c>
      <c r="D43" s="2" t="s">
        <v>591</v>
      </c>
      <c r="E43" s="1" t="s">
        <v>593</v>
      </c>
      <c r="F43" s="3">
        <v>7</v>
      </c>
      <c r="G43" s="4">
        <v>145000</v>
      </c>
      <c r="H43" s="5">
        <v>146</v>
      </c>
      <c r="I43" s="6">
        <v>45678</v>
      </c>
      <c r="J43" s="2" t="s">
        <v>598</v>
      </c>
      <c r="K43" s="15">
        <f>PRODUCT(Table24[[#This Row],[Ticket Price]],Table24[[#This Row],[Passenger Count]])</f>
        <v>21170000</v>
      </c>
      <c r="L43" s="15">
        <f>Table24[[#This Row],[Revenue]]*(1-$Q$2)</f>
        <v>19053000</v>
      </c>
      <c r="M43" t="str">
        <f t="shared" si="0"/>
        <v>On Time</v>
      </c>
    </row>
    <row r="44" spans="1:18" x14ac:dyDescent="0.35">
      <c r="A44" t="s">
        <v>40</v>
      </c>
      <c r="B44" t="s">
        <v>386</v>
      </c>
      <c r="C44" t="s">
        <v>584</v>
      </c>
      <c r="D44" s="2" t="s">
        <v>585</v>
      </c>
      <c r="E44" s="1" t="s">
        <v>595</v>
      </c>
      <c r="F44" s="3">
        <v>173</v>
      </c>
      <c r="G44" s="4">
        <v>25000</v>
      </c>
      <c r="H44" s="5">
        <v>96</v>
      </c>
      <c r="I44" s="6">
        <v>45837</v>
      </c>
      <c r="J44" s="2" t="s">
        <v>598</v>
      </c>
      <c r="K44" s="15">
        <f>PRODUCT(Table24[[#This Row],[Ticket Price]],Table24[[#This Row],[Passenger Count]])</f>
        <v>2400000</v>
      </c>
      <c r="L44" s="15">
        <f>Table24[[#This Row],[Revenue]]*(1-$Q$2)</f>
        <v>2160000</v>
      </c>
      <c r="M44" t="str">
        <f t="shared" si="0"/>
        <v>Late</v>
      </c>
    </row>
    <row r="45" spans="1:18" x14ac:dyDescent="0.35">
      <c r="A45" t="s">
        <v>41</v>
      </c>
      <c r="B45" t="s">
        <v>387</v>
      </c>
      <c r="C45" t="s">
        <v>583</v>
      </c>
      <c r="D45" s="2" t="s">
        <v>587</v>
      </c>
      <c r="E45" s="1" t="s">
        <v>593</v>
      </c>
      <c r="F45" s="3">
        <v>22</v>
      </c>
      <c r="G45" s="4">
        <v>25000</v>
      </c>
      <c r="H45" s="5">
        <v>88</v>
      </c>
      <c r="I45" s="6">
        <v>45795</v>
      </c>
      <c r="J45" s="2" t="s">
        <v>598</v>
      </c>
      <c r="K45" s="15">
        <f>PRODUCT(Table24[[#This Row],[Ticket Price]],Table24[[#This Row],[Passenger Count]])</f>
        <v>2200000</v>
      </c>
      <c r="L45" s="15">
        <f>Table24[[#This Row],[Revenue]]*(1-$Q$2)</f>
        <v>1980000</v>
      </c>
      <c r="M45" t="str">
        <f t="shared" si="0"/>
        <v>Slight Delay</v>
      </c>
    </row>
    <row r="46" spans="1:18" x14ac:dyDescent="0.35">
      <c r="A46" t="s">
        <v>42</v>
      </c>
      <c r="B46" t="s">
        <v>388</v>
      </c>
      <c r="C46" t="s">
        <v>581</v>
      </c>
      <c r="D46" s="2" t="s">
        <v>590</v>
      </c>
      <c r="E46" s="1" t="s">
        <v>596</v>
      </c>
      <c r="F46" s="3">
        <v>23</v>
      </c>
      <c r="G46" s="4">
        <v>25000</v>
      </c>
      <c r="H46" s="5">
        <v>126</v>
      </c>
      <c r="I46" s="6">
        <v>45727</v>
      </c>
      <c r="J46" s="2" t="s">
        <v>598</v>
      </c>
      <c r="K46" s="15">
        <f>PRODUCT(Table24[[#This Row],[Ticket Price]],Table24[[#This Row],[Passenger Count]])</f>
        <v>3150000</v>
      </c>
      <c r="L46" s="15">
        <f>Table24[[#This Row],[Revenue]]*(1-$Q$2)</f>
        <v>2835000</v>
      </c>
      <c r="M46" t="str">
        <f t="shared" si="0"/>
        <v>Slight Delay</v>
      </c>
    </row>
    <row r="47" spans="1:18" x14ac:dyDescent="0.35">
      <c r="A47" t="s">
        <v>43</v>
      </c>
      <c r="B47" t="s">
        <v>389</v>
      </c>
      <c r="C47" t="s">
        <v>588</v>
      </c>
      <c r="D47" s="2" t="s">
        <v>589</v>
      </c>
      <c r="E47" s="1" t="s">
        <v>595</v>
      </c>
      <c r="F47" s="3">
        <v>93</v>
      </c>
      <c r="G47" s="4">
        <v>35000</v>
      </c>
      <c r="H47" s="5">
        <v>151</v>
      </c>
      <c r="I47" s="6">
        <v>45778</v>
      </c>
      <c r="J47" s="2" t="s">
        <v>598</v>
      </c>
      <c r="K47" s="15">
        <f>PRODUCT(Table24[[#This Row],[Ticket Price]],Table24[[#This Row],[Passenger Count]])</f>
        <v>5285000</v>
      </c>
      <c r="L47" s="15">
        <f>Table24[[#This Row],[Revenue]]*(1-$Q$2)</f>
        <v>4756500</v>
      </c>
      <c r="M47" t="str">
        <f t="shared" si="0"/>
        <v>Late</v>
      </c>
    </row>
    <row r="48" spans="1:18" x14ac:dyDescent="0.35">
      <c r="A48" t="s">
        <v>44</v>
      </c>
      <c r="B48" t="s">
        <v>390</v>
      </c>
      <c r="C48" t="s">
        <v>588</v>
      </c>
      <c r="D48" s="2" t="s">
        <v>582</v>
      </c>
      <c r="E48" s="1" t="s">
        <v>593</v>
      </c>
      <c r="F48" s="3">
        <v>157</v>
      </c>
      <c r="G48" s="4">
        <v>135000</v>
      </c>
      <c r="H48" s="5">
        <v>130</v>
      </c>
      <c r="I48" s="6">
        <v>45807</v>
      </c>
      <c r="J48" s="2" t="s">
        <v>598</v>
      </c>
      <c r="K48" s="15">
        <f>PRODUCT(Table24[[#This Row],[Ticket Price]],Table24[[#This Row],[Passenger Count]])</f>
        <v>17550000</v>
      </c>
      <c r="L48" s="15">
        <f>Table24[[#This Row],[Revenue]]*(1-$Q$2)</f>
        <v>15795000</v>
      </c>
      <c r="M48" t="str">
        <f t="shared" si="0"/>
        <v>Late</v>
      </c>
    </row>
    <row r="49" spans="1:13" x14ac:dyDescent="0.35">
      <c r="A49" t="s">
        <v>45</v>
      </c>
      <c r="B49" t="s">
        <v>391</v>
      </c>
      <c r="C49" t="s">
        <v>583</v>
      </c>
      <c r="D49" s="2" t="s">
        <v>584</v>
      </c>
      <c r="E49" s="1" t="s">
        <v>595</v>
      </c>
      <c r="F49" s="3">
        <v>22</v>
      </c>
      <c r="G49" s="4">
        <v>115000</v>
      </c>
      <c r="H49" s="5">
        <v>129</v>
      </c>
      <c r="I49" s="6">
        <v>45779</v>
      </c>
      <c r="J49" s="2" t="s">
        <v>597</v>
      </c>
      <c r="K49" s="15">
        <f>PRODUCT(Table24[[#This Row],[Ticket Price]],Table24[[#This Row],[Passenger Count]])</f>
        <v>14835000</v>
      </c>
      <c r="L49" s="15">
        <f>Table24[[#This Row],[Revenue]]*(1-$Q$2)</f>
        <v>13351500</v>
      </c>
      <c r="M49" t="str">
        <f t="shared" si="0"/>
        <v>Slight Delay</v>
      </c>
    </row>
    <row r="50" spans="1:13" x14ac:dyDescent="0.35">
      <c r="A50" t="s">
        <v>46</v>
      </c>
      <c r="B50" t="s">
        <v>392</v>
      </c>
      <c r="C50" t="s">
        <v>586</v>
      </c>
      <c r="D50" s="2" t="s">
        <v>587</v>
      </c>
      <c r="E50" s="1" t="s">
        <v>596</v>
      </c>
      <c r="F50" s="3">
        <v>118</v>
      </c>
      <c r="G50" s="4">
        <v>25000</v>
      </c>
      <c r="H50" s="5">
        <v>147</v>
      </c>
      <c r="I50" s="6">
        <v>45695</v>
      </c>
      <c r="J50" s="2" t="s">
        <v>597</v>
      </c>
      <c r="K50" s="15">
        <f>PRODUCT(Table24[[#This Row],[Ticket Price]],Table24[[#This Row],[Passenger Count]])</f>
        <v>3675000</v>
      </c>
      <c r="L50" s="15">
        <f>Table24[[#This Row],[Revenue]]*(1-$Q$2)</f>
        <v>3307500</v>
      </c>
      <c r="M50" t="str">
        <f t="shared" si="0"/>
        <v>Late</v>
      </c>
    </row>
    <row r="51" spans="1:13" x14ac:dyDescent="0.35">
      <c r="A51" t="s">
        <v>47</v>
      </c>
      <c r="B51" t="s">
        <v>393</v>
      </c>
      <c r="C51" t="s">
        <v>582</v>
      </c>
      <c r="D51" s="2" t="s">
        <v>589</v>
      </c>
      <c r="E51" s="1" t="s">
        <v>594</v>
      </c>
      <c r="F51" s="3">
        <v>166</v>
      </c>
      <c r="G51" s="4">
        <v>50000</v>
      </c>
      <c r="H51" s="5">
        <v>72</v>
      </c>
      <c r="I51" s="6">
        <v>45683</v>
      </c>
      <c r="J51" s="2" t="s">
        <v>597</v>
      </c>
      <c r="K51" s="15">
        <f>PRODUCT(Table24[[#This Row],[Ticket Price]],Table24[[#This Row],[Passenger Count]])</f>
        <v>3600000</v>
      </c>
      <c r="L51" s="15">
        <f>Table24[[#This Row],[Revenue]]*(1-$Q$2)</f>
        <v>3240000</v>
      </c>
      <c r="M51" t="str">
        <f t="shared" si="0"/>
        <v>Late</v>
      </c>
    </row>
    <row r="52" spans="1:13" x14ac:dyDescent="0.35">
      <c r="A52" t="s">
        <v>48</v>
      </c>
      <c r="B52" t="s">
        <v>394</v>
      </c>
      <c r="C52" t="s">
        <v>586</v>
      </c>
      <c r="D52" s="2" t="s">
        <v>584</v>
      </c>
      <c r="E52" s="1" t="s">
        <v>594</v>
      </c>
      <c r="F52" s="3">
        <v>18</v>
      </c>
      <c r="G52" s="4">
        <v>140000</v>
      </c>
      <c r="H52" s="5">
        <v>126</v>
      </c>
      <c r="I52" s="6">
        <v>45745</v>
      </c>
      <c r="J52" s="2" t="s">
        <v>598</v>
      </c>
      <c r="K52" s="15">
        <f>PRODUCT(Table24[[#This Row],[Ticket Price]],Table24[[#This Row],[Passenger Count]])</f>
        <v>17640000</v>
      </c>
      <c r="L52" s="15">
        <f>Table24[[#This Row],[Revenue]]*(1-$Q$2)</f>
        <v>15876000</v>
      </c>
      <c r="M52" t="str">
        <f t="shared" si="0"/>
        <v>Slight Delay</v>
      </c>
    </row>
    <row r="53" spans="1:13" x14ac:dyDescent="0.35">
      <c r="A53" t="s">
        <v>49</v>
      </c>
      <c r="B53" t="s">
        <v>395</v>
      </c>
      <c r="C53" t="s">
        <v>588</v>
      </c>
      <c r="D53" s="2" t="s">
        <v>587</v>
      </c>
      <c r="E53" s="1" t="s">
        <v>592</v>
      </c>
      <c r="F53" s="3">
        <v>44</v>
      </c>
      <c r="G53" s="4">
        <v>140000</v>
      </c>
      <c r="H53" s="5">
        <v>80</v>
      </c>
      <c r="I53" s="6">
        <v>45672</v>
      </c>
      <c r="J53" s="2" t="s">
        <v>598</v>
      </c>
      <c r="K53" s="15">
        <f>PRODUCT(Table24[[#This Row],[Ticket Price]],Table24[[#This Row],[Passenger Count]])</f>
        <v>11200000</v>
      </c>
      <c r="L53" s="15">
        <f>Table24[[#This Row],[Revenue]]*(1-$Q$2)</f>
        <v>10080000</v>
      </c>
      <c r="M53" t="str">
        <f t="shared" si="0"/>
        <v>Late</v>
      </c>
    </row>
    <row r="54" spans="1:13" x14ac:dyDescent="0.35">
      <c r="A54" t="s">
        <v>50</v>
      </c>
      <c r="B54" t="s">
        <v>396</v>
      </c>
      <c r="C54" t="s">
        <v>585</v>
      </c>
      <c r="D54" s="2" t="s">
        <v>582</v>
      </c>
      <c r="E54" s="1" t="s">
        <v>594</v>
      </c>
      <c r="F54" s="3">
        <v>50</v>
      </c>
      <c r="G54" s="4">
        <v>110000</v>
      </c>
      <c r="H54" s="5">
        <v>99</v>
      </c>
      <c r="I54" s="6">
        <v>45770</v>
      </c>
      <c r="J54" s="2" t="s">
        <v>598</v>
      </c>
      <c r="K54" s="15">
        <f>PRODUCT(Table24[[#This Row],[Ticket Price]],Table24[[#This Row],[Passenger Count]])</f>
        <v>10890000</v>
      </c>
      <c r="L54" s="15">
        <f>Table24[[#This Row],[Revenue]]*(1-$Q$2)</f>
        <v>9801000</v>
      </c>
      <c r="M54" t="str">
        <f t="shared" si="0"/>
        <v>Late</v>
      </c>
    </row>
    <row r="55" spans="1:13" x14ac:dyDescent="0.35">
      <c r="A55" t="s">
        <v>51</v>
      </c>
      <c r="B55" t="s">
        <v>397</v>
      </c>
      <c r="C55" t="s">
        <v>586</v>
      </c>
      <c r="D55" s="2" t="s">
        <v>584</v>
      </c>
      <c r="E55" s="1" t="s">
        <v>596</v>
      </c>
      <c r="F55" s="3">
        <v>1</v>
      </c>
      <c r="G55" s="4">
        <v>90000</v>
      </c>
      <c r="H55" s="5">
        <v>155</v>
      </c>
      <c r="I55" s="6">
        <v>45804</v>
      </c>
      <c r="J55" s="2" t="s">
        <v>598</v>
      </c>
      <c r="K55" s="15">
        <f>PRODUCT(Table24[[#This Row],[Ticket Price]],Table24[[#This Row],[Passenger Count]])</f>
        <v>13950000</v>
      </c>
      <c r="L55" s="15">
        <f>Table24[[#This Row],[Revenue]]*(1-$Q$2)</f>
        <v>12555000</v>
      </c>
      <c r="M55" t="str">
        <f t="shared" si="0"/>
        <v>On Time</v>
      </c>
    </row>
    <row r="56" spans="1:13" x14ac:dyDescent="0.35">
      <c r="A56" t="s">
        <v>52</v>
      </c>
      <c r="B56" t="s">
        <v>365</v>
      </c>
      <c r="C56" t="s">
        <v>588</v>
      </c>
      <c r="D56" s="2" t="s">
        <v>583</v>
      </c>
      <c r="E56" s="1" t="s">
        <v>593</v>
      </c>
      <c r="F56" s="3">
        <v>19</v>
      </c>
      <c r="G56" s="4">
        <v>110000</v>
      </c>
      <c r="H56" s="5">
        <v>129</v>
      </c>
      <c r="I56" s="6">
        <v>45683</v>
      </c>
      <c r="J56" s="2" t="s">
        <v>598</v>
      </c>
      <c r="K56" s="15">
        <f>PRODUCT(Table24[[#This Row],[Ticket Price]],Table24[[#This Row],[Passenger Count]])</f>
        <v>14190000</v>
      </c>
      <c r="L56" s="15">
        <f>Table24[[#This Row],[Revenue]]*(1-$Q$2)</f>
        <v>12771000</v>
      </c>
      <c r="M56" t="str">
        <f t="shared" si="0"/>
        <v>Slight Delay</v>
      </c>
    </row>
    <row r="57" spans="1:13" x14ac:dyDescent="0.35">
      <c r="A57" t="s">
        <v>53</v>
      </c>
      <c r="B57" t="s">
        <v>398</v>
      </c>
      <c r="C57" t="s">
        <v>587</v>
      </c>
      <c r="D57" s="2" t="s">
        <v>584</v>
      </c>
      <c r="E57" s="1" t="s">
        <v>595</v>
      </c>
      <c r="F57" s="3">
        <v>18</v>
      </c>
      <c r="G57" s="4">
        <v>95000</v>
      </c>
      <c r="H57" s="5">
        <v>133</v>
      </c>
      <c r="I57" s="6">
        <v>45661</v>
      </c>
      <c r="J57" s="2" t="s">
        <v>598</v>
      </c>
      <c r="K57" s="15">
        <f>PRODUCT(Table24[[#This Row],[Ticket Price]],Table24[[#This Row],[Passenger Count]])</f>
        <v>12635000</v>
      </c>
      <c r="L57" s="15">
        <f>Table24[[#This Row],[Revenue]]*(1-$Q$2)</f>
        <v>11371500</v>
      </c>
      <c r="M57" t="str">
        <f t="shared" si="0"/>
        <v>Slight Delay</v>
      </c>
    </row>
    <row r="58" spans="1:13" x14ac:dyDescent="0.35">
      <c r="A58" t="s">
        <v>54</v>
      </c>
      <c r="B58" t="s">
        <v>379</v>
      </c>
      <c r="C58" t="s">
        <v>587</v>
      </c>
      <c r="D58" s="2" t="s">
        <v>585</v>
      </c>
      <c r="E58" s="1" t="s">
        <v>595</v>
      </c>
      <c r="F58" s="3">
        <v>130</v>
      </c>
      <c r="G58" s="4">
        <v>75000</v>
      </c>
      <c r="H58" s="5">
        <v>159</v>
      </c>
      <c r="I58" s="6">
        <v>45728</v>
      </c>
      <c r="J58" s="2" t="s">
        <v>597</v>
      </c>
      <c r="K58" s="15">
        <f>PRODUCT(Table24[[#This Row],[Ticket Price]],Table24[[#This Row],[Passenger Count]])</f>
        <v>11925000</v>
      </c>
      <c r="L58" s="15">
        <f>Table24[[#This Row],[Revenue]]*(1-$Q$2)</f>
        <v>10732500</v>
      </c>
      <c r="M58" t="str">
        <f t="shared" si="0"/>
        <v>Late</v>
      </c>
    </row>
    <row r="59" spans="1:13" x14ac:dyDescent="0.35">
      <c r="A59" t="s">
        <v>55</v>
      </c>
      <c r="B59" t="s">
        <v>399</v>
      </c>
      <c r="C59" t="s">
        <v>587</v>
      </c>
      <c r="D59" s="2" t="s">
        <v>585</v>
      </c>
      <c r="E59" s="1" t="s">
        <v>595</v>
      </c>
      <c r="F59" s="3">
        <v>27</v>
      </c>
      <c r="G59" s="4">
        <v>145000</v>
      </c>
      <c r="H59" s="5">
        <v>98</v>
      </c>
      <c r="I59" s="6">
        <v>45710</v>
      </c>
      <c r="J59" s="2" t="s">
        <v>597</v>
      </c>
      <c r="K59" s="15">
        <f>PRODUCT(Table24[[#This Row],[Ticket Price]],Table24[[#This Row],[Passenger Count]])</f>
        <v>14210000</v>
      </c>
      <c r="L59" s="15">
        <f>Table24[[#This Row],[Revenue]]*(1-$Q$2)</f>
        <v>12789000</v>
      </c>
      <c r="M59" t="str">
        <f t="shared" si="0"/>
        <v>Slight Delay</v>
      </c>
    </row>
    <row r="60" spans="1:13" x14ac:dyDescent="0.35">
      <c r="A60" t="s">
        <v>56</v>
      </c>
      <c r="B60" t="s">
        <v>400</v>
      </c>
      <c r="C60" t="s">
        <v>585</v>
      </c>
      <c r="D60" s="2" t="s">
        <v>591</v>
      </c>
      <c r="E60" s="1" t="s">
        <v>594</v>
      </c>
      <c r="F60" s="3">
        <v>31</v>
      </c>
      <c r="G60" s="4">
        <v>65000</v>
      </c>
      <c r="H60" s="5">
        <v>148</v>
      </c>
      <c r="I60" s="6">
        <v>45679</v>
      </c>
      <c r="J60" s="2" t="s">
        <v>597</v>
      </c>
      <c r="K60" s="15">
        <f>PRODUCT(Table24[[#This Row],[Ticket Price]],Table24[[#This Row],[Passenger Count]])</f>
        <v>9620000</v>
      </c>
      <c r="L60" s="15">
        <f>Table24[[#This Row],[Revenue]]*(1-$Q$2)</f>
        <v>8658000</v>
      </c>
      <c r="M60" t="str">
        <f t="shared" si="0"/>
        <v>Late</v>
      </c>
    </row>
    <row r="61" spans="1:13" x14ac:dyDescent="0.35">
      <c r="A61" t="s">
        <v>57</v>
      </c>
      <c r="B61" t="s">
        <v>401</v>
      </c>
      <c r="C61" t="s">
        <v>581</v>
      </c>
      <c r="D61" s="2" t="s">
        <v>591</v>
      </c>
      <c r="E61" s="1" t="s">
        <v>592</v>
      </c>
      <c r="F61" s="3">
        <v>131</v>
      </c>
      <c r="G61" s="4">
        <v>100000</v>
      </c>
      <c r="H61" s="5">
        <v>87</v>
      </c>
      <c r="I61" s="6">
        <v>45721</v>
      </c>
      <c r="J61" s="2" t="s">
        <v>597</v>
      </c>
      <c r="K61" s="15">
        <f>PRODUCT(Table24[[#This Row],[Ticket Price]],Table24[[#This Row],[Passenger Count]])</f>
        <v>8700000</v>
      </c>
      <c r="L61" s="15">
        <f>Table24[[#This Row],[Revenue]]*(1-$Q$2)</f>
        <v>7830000</v>
      </c>
      <c r="M61" t="str">
        <f t="shared" si="0"/>
        <v>Late</v>
      </c>
    </row>
    <row r="62" spans="1:13" x14ac:dyDescent="0.35">
      <c r="A62" t="s">
        <v>58</v>
      </c>
      <c r="B62" t="s">
        <v>402</v>
      </c>
      <c r="C62" t="s">
        <v>583</v>
      </c>
      <c r="D62" s="2" t="s">
        <v>590</v>
      </c>
      <c r="E62" s="1" t="s">
        <v>594</v>
      </c>
      <c r="F62" s="3">
        <v>82</v>
      </c>
      <c r="G62" s="4">
        <v>150000</v>
      </c>
      <c r="H62" s="5">
        <v>153</v>
      </c>
      <c r="I62" s="6">
        <v>45779</v>
      </c>
      <c r="J62" s="2" t="s">
        <v>597</v>
      </c>
      <c r="K62" s="15">
        <f>PRODUCT(Table24[[#This Row],[Ticket Price]],Table24[[#This Row],[Passenger Count]])</f>
        <v>22950000</v>
      </c>
      <c r="L62" s="15">
        <f>Table24[[#This Row],[Revenue]]*(1-$Q$2)</f>
        <v>20655000</v>
      </c>
      <c r="M62" t="str">
        <f t="shared" si="0"/>
        <v>Late</v>
      </c>
    </row>
    <row r="63" spans="1:13" x14ac:dyDescent="0.35">
      <c r="A63" t="s">
        <v>59</v>
      </c>
      <c r="B63" t="s">
        <v>403</v>
      </c>
      <c r="C63" t="s">
        <v>588</v>
      </c>
      <c r="D63" s="2" t="s">
        <v>590</v>
      </c>
      <c r="E63" s="1" t="s">
        <v>592</v>
      </c>
      <c r="F63" s="3">
        <v>54</v>
      </c>
      <c r="G63" s="4">
        <v>120000</v>
      </c>
      <c r="H63" s="5">
        <v>113</v>
      </c>
      <c r="I63" s="6">
        <v>45830</v>
      </c>
      <c r="J63" s="2" t="s">
        <v>597</v>
      </c>
      <c r="K63" s="15">
        <f>PRODUCT(Table24[[#This Row],[Ticket Price]],Table24[[#This Row],[Passenger Count]])</f>
        <v>13560000</v>
      </c>
      <c r="L63" s="15">
        <f>Table24[[#This Row],[Revenue]]*(1-$Q$2)</f>
        <v>12204000</v>
      </c>
      <c r="M63" t="str">
        <f t="shared" si="0"/>
        <v>Late</v>
      </c>
    </row>
    <row r="64" spans="1:13" x14ac:dyDescent="0.35">
      <c r="A64" t="s">
        <v>60</v>
      </c>
      <c r="B64" t="s">
        <v>404</v>
      </c>
      <c r="C64" t="s">
        <v>584</v>
      </c>
      <c r="D64" s="2" t="s">
        <v>589</v>
      </c>
      <c r="E64" s="1" t="s">
        <v>592</v>
      </c>
      <c r="F64" s="3">
        <v>92</v>
      </c>
      <c r="G64" s="4">
        <v>100000</v>
      </c>
      <c r="H64" s="5">
        <v>93</v>
      </c>
      <c r="I64" s="6">
        <v>45718</v>
      </c>
      <c r="J64" s="2" t="s">
        <v>597</v>
      </c>
      <c r="K64" s="15">
        <f>PRODUCT(Table24[[#This Row],[Ticket Price]],Table24[[#This Row],[Passenger Count]])</f>
        <v>9300000</v>
      </c>
      <c r="L64" s="15">
        <f>Table24[[#This Row],[Revenue]]*(1-$Q$2)</f>
        <v>8370000</v>
      </c>
      <c r="M64" t="str">
        <f t="shared" si="0"/>
        <v>Late</v>
      </c>
    </row>
    <row r="65" spans="1:13" x14ac:dyDescent="0.35">
      <c r="A65" t="s">
        <v>61</v>
      </c>
      <c r="B65" t="s">
        <v>405</v>
      </c>
      <c r="C65" t="s">
        <v>582</v>
      </c>
      <c r="D65" s="2" t="s">
        <v>585</v>
      </c>
      <c r="E65" s="1" t="s">
        <v>594</v>
      </c>
      <c r="F65" s="3">
        <v>122</v>
      </c>
      <c r="G65" s="4">
        <v>45000</v>
      </c>
      <c r="H65" s="5">
        <v>63</v>
      </c>
      <c r="I65" s="6">
        <v>45764</v>
      </c>
      <c r="J65" s="2" t="s">
        <v>597</v>
      </c>
      <c r="K65" s="15">
        <f>PRODUCT(Table24[[#This Row],[Ticket Price]],Table24[[#This Row],[Passenger Count]])</f>
        <v>2835000</v>
      </c>
      <c r="L65" s="15">
        <f>Table24[[#This Row],[Revenue]]*(1-$Q$2)</f>
        <v>2551500</v>
      </c>
      <c r="M65" t="str">
        <f t="shared" si="0"/>
        <v>Late</v>
      </c>
    </row>
    <row r="66" spans="1:13" x14ac:dyDescent="0.35">
      <c r="A66" t="s">
        <v>62</v>
      </c>
      <c r="B66" t="s">
        <v>406</v>
      </c>
      <c r="C66" t="s">
        <v>582</v>
      </c>
      <c r="D66" s="2" t="s">
        <v>590</v>
      </c>
      <c r="E66" s="1" t="s">
        <v>594</v>
      </c>
      <c r="F66" s="3">
        <v>107</v>
      </c>
      <c r="G66" s="4">
        <v>145000</v>
      </c>
      <c r="H66" s="5">
        <v>85</v>
      </c>
      <c r="I66" s="6">
        <v>45667</v>
      </c>
      <c r="J66" s="2" t="s">
        <v>598</v>
      </c>
      <c r="K66" s="15">
        <f>PRODUCT(Table24[[#This Row],[Ticket Price]],Table24[[#This Row],[Passenger Count]])</f>
        <v>12325000</v>
      </c>
      <c r="L66" s="15">
        <f>Table24[[#This Row],[Revenue]]*(1-$Q$2)</f>
        <v>11092500</v>
      </c>
      <c r="M66" t="str">
        <f t="shared" ref="M66:M129" si="1">IF(F66&lt;=10,"On Time",IF(F66&lt;=30,"Slight Delay","Late"))</f>
        <v>Late</v>
      </c>
    </row>
    <row r="67" spans="1:13" x14ac:dyDescent="0.35">
      <c r="A67" t="s">
        <v>63</v>
      </c>
      <c r="B67" t="s">
        <v>384</v>
      </c>
      <c r="C67" t="s">
        <v>587</v>
      </c>
      <c r="D67" s="2" t="s">
        <v>584</v>
      </c>
      <c r="E67" s="1" t="s">
        <v>593</v>
      </c>
      <c r="F67" s="3">
        <v>67</v>
      </c>
      <c r="G67" s="4">
        <v>100000</v>
      </c>
      <c r="H67" s="5">
        <v>65</v>
      </c>
      <c r="I67" s="6">
        <v>45715</v>
      </c>
      <c r="J67" s="2" t="s">
        <v>598</v>
      </c>
      <c r="K67" s="15">
        <f>PRODUCT(Table24[[#This Row],[Ticket Price]],Table24[[#This Row],[Passenger Count]])</f>
        <v>6500000</v>
      </c>
      <c r="L67" s="15">
        <f>Table24[[#This Row],[Revenue]]*(1-$Q$2)</f>
        <v>5850000</v>
      </c>
      <c r="M67" t="str">
        <f t="shared" si="1"/>
        <v>Late</v>
      </c>
    </row>
    <row r="68" spans="1:13" x14ac:dyDescent="0.35">
      <c r="A68" t="s">
        <v>64</v>
      </c>
      <c r="B68" t="s">
        <v>407</v>
      </c>
      <c r="C68" t="s">
        <v>583</v>
      </c>
      <c r="D68" s="2" t="s">
        <v>591</v>
      </c>
      <c r="E68" s="1" t="s">
        <v>592</v>
      </c>
      <c r="F68" s="3">
        <v>-1</v>
      </c>
      <c r="G68" s="4">
        <v>150000</v>
      </c>
      <c r="H68" s="5">
        <v>133</v>
      </c>
      <c r="I68" s="6">
        <v>45695</v>
      </c>
      <c r="J68" s="2" t="s">
        <v>598</v>
      </c>
      <c r="K68" s="15">
        <f>PRODUCT(Table24[[#This Row],[Ticket Price]],Table24[[#This Row],[Passenger Count]])</f>
        <v>19950000</v>
      </c>
      <c r="L68" s="15">
        <f>Table24[[#This Row],[Revenue]]*(1-$Q$2)</f>
        <v>17955000</v>
      </c>
      <c r="M68" t="str">
        <f t="shared" si="1"/>
        <v>On Time</v>
      </c>
    </row>
    <row r="69" spans="1:13" x14ac:dyDescent="0.35">
      <c r="A69" t="s">
        <v>65</v>
      </c>
      <c r="B69" t="s">
        <v>390</v>
      </c>
      <c r="C69" t="s">
        <v>584</v>
      </c>
      <c r="D69" s="2" t="s">
        <v>587</v>
      </c>
      <c r="E69" s="1" t="s">
        <v>596</v>
      </c>
      <c r="F69" s="3">
        <v>24</v>
      </c>
      <c r="G69" s="4">
        <v>65000</v>
      </c>
      <c r="H69" s="5">
        <v>156</v>
      </c>
      <c r="I69" s="6">
        <v>45680</v>
      </c>
      <c r="J69" s="2" t="s">
        <v>597</v>
      </c>
      <c r="K69" s="15">
        <f>PRODUCT(Table24[[#This Row],[Ticket Price]],Table24[[#This Row],[Passenger Count]])</f>
        <v>10140000</v>
      </c>
      <c r="L69" s="15">
        <f>Table24[[#This Row],[Revenue]]*(1-$Q$2)</f>
        <v>9126000</v>
      </c>
      <c r="M69" t="str">
        <f t="shared" si="1"/>
        <v>Slight Delay</v>
      </c>
    </row>
    <row r="70" spans="1:13" x14ac:dyDescent="0.35">
      <c r="A70" t="s">
        <v>66</v>
      </c>
      <c r="B70" t="s">
        <v>408</v>
      </c>
      <c r="C70" t="s">
        <v>585</v>
      </c>
      <c r="D70" s="2" t="s">
        <v>584</v>
      </c>
      <c r="E70" s="1" t="s">
        <v>595</v>
      </c>
      <c r="F70" s="3">
        <v>54</v>
      </c>
      <c r="G70" s="4">
        <v>80000</v>
      </c>
      <c r="H70" s="5">
        <v>66</v>
      </c>
      <c r="I70" s="6">
        <v>45780</v>
      </c>
      <c r="J70" s="2" t="s">
        <v>597</v>
      </c>
      <c r="K70" s="15">
        <f>PRODUCT(Table24[[#This Row],[Ticket Price]],Table24[[#This Row],[Passenger Count]])</f>
        <v>5280000</v>
      </c>
      <c r="L70" s="15">
        <f>Table24[[#This Row],[Revenue]]*(1-$Q$2)</f>
        <v>4752000</v>
      </c>
      <c r="M70" t="str">
        <f t="shared" si="1"/>
        <v>Late</v>
      </c>
    </row>
    <row r="71" spans="1:13" x14ac:dyDescent="0.35">
      <c r="A71" t="s">
        <v>67</v>
      </c>
      <c r="B71" t="s">
        <v>399</v>
      </c>
      <c r="C71" t="s">
        <v>585</v>
      </c>
      <c r="D71" s="2" t="s">
        <v>590</v>
      </c>
      <c r="E71" s="1" t="s">
        <v>596</v>
      </c>
      <c r="F71" s="3">
        <v>72</v>
      </c>
      <c r="G71" s="4">
        <v>40000</v>
      </c>
      <c r="H71" s="5">
        <v>97</v>
      </c>
      <c r="I71" s="6">
        <v>45665</v>
      </c>
      <c r="J71" s="2" t="s">
        <v>598</v>
      </c>
      <c r="K71" s="15">
        <f>PRODUCT(Table24[[#This Row],[Ticket Price]],Table24[[#This Row],[Passenger Count]])</f>
        <v>3880000</v>
      </c>
      <c r="L71" s="15">
        <f>Table24[[#This Row],[Revenue]]*(1-$Q$2)</f>
        <v>3492000</v>
      </c>
      <c r="M71" t="str">
        <f t="shared" si="1"/>
        <v>Late</v>
      </c>
    </row>
    <row r="72" spans="1:13" x14ac:dyDescent="0.35">
      <c r="A72" t="s">
        <v>68</v>
      </c>
      <c r="B72" t="s">
        <v>409</v>
      </c>
      <c r="C72" t="s">
        <v>583</v>
      </c>
      <c r="D72" s="2" t="s">
        <v>584</v>
      </c>
      <c r="E72" s="1" t="s">
        <v>595</v>
      </c>
      <c r="F72" s="3">
        <v>122</v>
      </c>
      <c r="G72" s="4">
        <v>140000</v>
      </c>
      <c r="H72" s="5">
        <v>177</v>
      </c>
      <c r="I72" s="6">
        <v>45828</v>
      </c>
      <c r="J72" s="2" t="s">
        <v>597</v>
      </c>
      <c r="K72" s="15">
        <f>PRODUCT(Table24[[#This Row],[Ticket Price]],Table24[[#This Row],[Passenger Count]])</f>
        <v>24780000</v>
      </c>
      <c r="L72" s="15">
        <f>Table24[[#This Row],[Revenue]]*(1-$Q$2)</f>
        <v>22302000</v>
      </c>
      <c r="M72" t="str">
        <f t="shared" si="1"/>
        <v>Late</v>
      </c>
    </row>
    <row r="73" spans="1:13" x14ac:dyDescent="0.35">
      <c r="A73" t="s">
        <v>69</v>
      </c>
      <c r="B73" t="s">
        <v>410</v>
      </c>
      <c r="C73" t="s">
        <v>584</v>
      </c>
      <c r="D73" s="2" t="s">
        <v>591</v>
      </c>
      <c r="E73" s="1" t="s">
        <v>596</v>
      </c>
      <c r="F73" s="3">
        <v>54</v>
      </c>
      <c r="G73" s="4">
        <v>35000</v>
      </c>
      <c r="H73" s="5">
        <v>127</v>
      </c>
      <c r="I73" s="6">
        <v>45776</v>
      </c>
      <c r="J73" s="2" t="s">
        <v>597</v>
      </c>
      <c r="K73" s="15">
        <f>PRODUCT(Table24[[#This Row],[Ticket Price]],Table24[[#This Row],[Passenger Count]])</f>
        <v>4445000</v>
      </c>
      <c r="L73" s="15">
        <f>Table24[[#This Row],[Revenue]]*(1-$Q$2)</f>
        <v>4000500</v>
      </c>
      <c r="M73" t="str">
        <f t="shared" si="1"/>
        <v>Late</v>
      </c>
    </row>
    <row r="74" spans="1:13" x14ac:dyDescent="0.35">
      <c r="A74" t="s">
        <v>70</v>
      </c>
      <c r="B74" t="s">
        <v>411</v>
      </c>
      <c r="C74" t="s">
        <v>588</v>
      </c>
      <c r="D74" s="2" t="s">
        <v>584</v>
      </c>
      <c r="E74" s="1" t="s">
        <v>595</v>
      </c>
      <c r="F74" s="3">
        <v>104</v>
      </c>
      <c r="G74" s="4">
        <v>135000</v>
      </c>
      <c r="H74" s="5">
        <v>174</v>
      </c>
      <c r="I74" s="6">
        <v>45742</v>
      </c>
      <c r="J74" s="2" t="s">
        <v>597</v>
      </c>
      <c r="K74" s="15">
        <f>PRODUCT(Table24[[#This Row],[Ticket Price]],Table24[[#This Row],[Passenger Count]])</f>
        <v>23490000</v>
      </c>
      <c r="L74" s="15">
        <f>Table24[[#This Row],[Revenue]]*(1-$Q$2)</f>
        <v>21141000</v>
      </c>
      <c r="M74" t="str">
        <f t="shared" si="1"/>
        <v>Late</v>
      </c>
    </row>
    <row r="75" spans="1:13" x14ac:dyDescent="0.35">
      <c r="A75" t="s">
        <v>71</v>
      </c>
      <c r="B75" t="s">
        <v>412</v>
      </c>
      <c r="C75" t="s">
        <v>584</v>
      </c>
      <c r="D75" s="2" t="s">
        <v>587</v>
      </c>
      <c r="E75" s="1" t="s">
        <v>596</v>
      </c>
      <c r="F75" s="3">
        <v>137</v>
      </c>
      <c r="G75" s="4">
        <v>55000</v>
      </c>
      <c r="H75" s="5">
        <v>169</v>
      </c>
      <c r="I75" s="6">
        <v>45660</v>
      </c>
      <c r="J75" s="2" t="s">
        <v>598</v>
      </c>
      <c r="K75" s="15">
        <f>PRODUCT(Table24[[#This Row],[Ticket Price]],Table24[[#This Row],[Passenger Count]])</f>
        <v>9295000</v>
      </c>
      <c r="L75" s="15">
        <f>Table24[[#This Row],[Revenue]]*(1-$Q$2)</f>
        <v>8365500</v>
      </c>
      <c r="M75" t="str">
        <f t="shared" si="1"/>
        <v>Late</v>
      </c>
    </row>
    <row r="76" spans="1:13" x14ac:dyDescent="0.35">
      <c r="A76" t="s">
        <v>72</v>
      </c>
      <c r="B76" t="s">
        <v>413</v>
      </c>
      <c r="C76" t="s">
        <v>581</v>
      </c>
      <c r="D76" s="2" t="s">
        <v>587</v>
      </c>
      <c r="E76" s="1" t="s">
        <v>593</v>
      </c>
      <c r="F76" s="3">
        <v>67</v>
      </c>
      <c r="G76" s="4">
        <v>50000</v>
      </c>
      <c r="H76" s="5">
        <v>87</v>
      </c>
      <c r="I76" s="6">
        <v>45799</v>
      </c>
      <c r="J76" s="2" t="s">
        <v>597</v>
      </c>
      <c r="K76" s="15">
        <f>PRODUCT(Table24[[#This Row],[Ticket Price]],Table24[[#This Row],[Passenger Count]])</f>
        <v>4350000</v>
      </c>
      <c r="L76" s="15">
        <f>Table24[[#This Row],[Revenue]]*(1-$Q$2)</f>
        <v>3915000</v>
      </c>
      <c r="M76" t="str">
        <f t="shared" si="1"/>
        <v>Late</v>
      </c>
    </row>
    <row r="77" spans="1:13" x14ac:dyDescent="0.35">
      <c r="A77" t="s">
        <v>73</v>
      </c>
      <c r="B77" t="s">
        <v>414</v>
      </c>
      <c r="C77" t="s">
        <v>581</v>
      </c>
      <c r="D77" s="2" t="s">
        <v>584</v>
      </c>
      <c r="E77" s="1" t="s">
        <v>593</v>
      </c>
      <c r="F77" s="3">
        <v>128</v>
      </c>
      <c r="G77" s="4">
        <v>90000</v>
      </c>
      <c r="H77" s="5">
        <v>80</v>
      </c>
      <c r="I77" s="6">
        <v>45814</v>
      </c>
      <c r="J77" s="2" t="s">
        <v>597</v>
      </c>
      <c r="K77" s="15">
        <f>PRODUCT(Table24[[#This Row],[Ticket Price]],Table24[[#This Row],[Passenger Count]])</f>
        <v>7200000</v>
      </c>
      <c r="L77" s="15">
        <f>Table24[[#This Row],[Revenue]]*(1-$Q$2)</f>
        <v>6480000</v>
      </c>
      <c r="M77" t="str">
        <f t="shared" si="1"/>
        <v>Late</v>
      </c>
    </row>
    <row r="78" spans="1:13" x14ac:dyDescent="0.35">
      <c r="A78" t="s">
        <v>74</v>
      </c>
      <c r="B78" t="s">
        <v>415</v>
      </c>
      <c r="C78" t="s">
        <v>588</v>
      </c>
      <c r="D78" s="2" t="s">
        <v>591</v>
      </c>
      <c r="E78" s="1" t="s">
        <v>593</v>
      </c>
      <c r="F78" s="3">
        <v>106</v>
      </c>
      <c r="G78" s="4">
        <v>75000</v>
      </c>
      <c r="H78" s="5">
        <v>126</v>
      </c>
      <c r="I78" s="6">
        <v>45661</v>
      </c>
      <c r="J78" s="2" t="s">
        <v>598</v>
      </c>
      <c r="K78" s="15">
        <f>PRODUCT(Table24[[#This Row],[Ticket Price]],Table24[[#This Row],[Passenger Count]])</f>
        <v>9450000</v>
      </c>
      <c r="L78" s="15">
        <f>Table24[[#This Row],[Revenue]]*(1-$Q$2)</f>
        <v>8505000</v>
      </c>
      <c r="M78" t="str">
        <f t="shared" si="1"/>
        <v>Late</v>
      </c>
    </row>
    <row r="79" spans="1:13" x14ac:dyDescent="0.35">
      <c r="A79" t="s">
        <v>75</v>
      </c>
      <c r="B79" t="s">
        <v>416</v>
      </c>
      <c r="C79" t="s">
        <v>584</v>
      </c>
      <c r="D79" s="2" t="s">
        <v>591</v>
      </c>
      <c r="E79" s="1" t="s">
        <v>596</v>
      </c>
      <c r="F79" s="3">
        <v>23</v>
      </c>
      <c r="G79" s="4">
        <v>60000</v>
      </c>
      <c r="H79" s="5">
        <v>146</v>
      </c>
      <c r="I79" s="6">
        <v>45703</v>
      </c>
      <c r="J79" s="2" t="s">
        <v>597</v>
      </c>
      <c r="K79" s="15">
        <f>PRODUCT(Table24[[#This Row],[Ticket Price]],Table24[[#This Row],[Passenger Count]])</f>
        <v>8760000</v>
      </c>
      <c r="L79" s="15">
        <f>Table24[[#This Row],[Revenue]]*(1-$Q$2)</f>
        <v>7884000</v>
      </c>
      <c r="M79" t="str">
        <f t="shared" si="1"/>
        <v>Slight Delay</v>
      </c>
    </row>
    <row r="80" spans="1:13" x14ac:dyDescent="0.35">
      <c r="A80" t="s">
        <v>76</v>
      </c>
      <c r="B80" t="s">
        <v>417</v>
      </c>
      <c r="C80" t="s">
        <v>581</v>
      </c>
      <c r="D80" s="2" t="s">
        <v>585</v>
      </c>
      <c r="E80" s="1" t="s">
        <v>592</v>
      </c>
      <c r="F80" s="3">
        <v>52</v>
      </c>
      <c r="G80" s="4">
        <v>115000</v>
      </c>
      <c r="H80" s="5">
        <v>115</v>
      </c>
      <c r="I80" s="6">
        <v>45777</v>
      </c>
      <c r="J80" s="2" t="s">
        <v>598</v>
      </c>
      <c r="K80" s="15">
        <f>PRODUCT(Table24[[#This Row],[Ticket Price]],Table24[[#This Row],[Passenger Count]])</f>
        <v>13225000</v>
      </c>
      <c r="L80" s="15">
        <f>Table24[[#This Row],[Revenue]]*(1-$Q$2)</f>
        <v>11902500</v>
      </c>
      <c r="M80" t="str">
        <f t="shared" si="1"/>
        <v>Late</v>
      </c>
    </row>
    <row r="81" spans="1:13" x14ac:dyDescent="0.35">
      <c r="A81" t="s">
        <v>77</v>
      </c>
      <c r="B81" t="s">
        <v>418</v>
      </c>
      <c r="C81" t="s">
        <v>584</v>
      </c>
      <c r="D81" s="2" t="s">
        <v>589</v>
      </c>
      <c r="E81" s="1" t="s">
        <v>592</v>
      </c>
      <c r="F81" s="3">
        <v>49</v>
      </c>
      <c r="G81" s="4">
        <v>135000</v>
      </c>
      <c r="H81" s="5">
        <v>151</v>
      </c>
      <c r="I81" s="6">
        <v>45774</v>
      </c>
      <c r="J81" s="2" t="s">
        <v>598</v>
      </c>
      <c r="K81" s="15">
        <f>PRODUCT(Table24[[#This Row],[Ticket Price]],Table24[[#This Row],[Passenger Count]])</f>
        <v>20385000</v>
      </c>
      <c r="L81" s="15">
        <f>Table24[[#This Row],[Revenue]]*(1-$Q$2)</f>
        <v>18346500</v>
      </c>
      <c r="M81" t="str">
        <f t="shared" si="1"/>
        <v>Late</v>
      </c>
    </row>
    <row r="82" spans="1:13" x14ac:dyDescent="0.35">
      <c r="A82" t="s">
        <v>78</v>
      </c>
      <c r="B82" t="s">
        <v>364</v>
      </c>
      <c r="C82" t="s">
        <v>581</v>
      </c>
      <c r="D82" s="2" t="s">
        <v>583</v>
      </c>
      <c r="E82" s="1" t="s">
        <v>592</v>
      </c>
      <c r="F82" s="3">
        <v>60</v>
      </c>
      <c r="G82" s="4">
        <v>80000</v>
      </c>
      <c r="H82" s="5">
        <v>169</v>
      </c>
      <c r="I82" s="6">
        <v>45717</v>
      </c>
      <c r="J82" s="2" t="s">
        <v>597</v>
      </c>
      <c r="K82" s="15">
        <f>PRODUCT(Table24[[#This Row],[Ticket Price]],Table24[[#This Row],[Passenger Count]])</f>
        <v>13520000</v>
      </c>
      <c r="L82" s="15">
        <f>Table24[[#This Row],[Revenue]]*(1-$Q$2)</f>
        <v>12168000</v>
      </c>
      <c r="M82" t="str">
        <f t="shared" si="1"/>
        <v>Late</v>
      </c>
    </row>
    <row r="83" spans="1:13" x14ac:dyDescent="0.35">
      <c r="A83" t="s">
        <v>79</v>
      </c>
      <c r="B83" t="s">
        <v>363</v>
      </c>
      <c r="C83" t="s">
        <v>582</v>
      </c>
      <c r="D83" s="2" t="s">
        <v>585</v>
      </c>
      <c r="E83" s="1" t="s">
        <v>593</v>
      </c>
      <c r="F83" s="3">
        <v>144</v>
      </c>
      <c r="G83" s="4">
        <v>85000</v>
      </c>
      <c r="H83" s="5">
        <v>148</v>
      </c>
      <c r="I83" s="6">
        <v>45684</v>
      </c>
      <c r="J83" s="2" t="s">
        <v>598</v>
      </c>
      <c r="K83" s="15">
        <f>PRODUCT(Table24[[#This Row],[Ticket Price]],Table24[[#This Row],[Passenger Count]])</f>
        <v>12580000</v>
      </c>
      <c r="L83" s="15">
        <f>Table24[[#This Row],[Revenue]]*(1-$Q$2)</f>
        <v>11322000</v>
      </c>
      <c r="M83" t="str">
        <f t="shared" si="1"/>
        <v>Late</v>
      </c>
    </row>
    <row r="84" spans="1:13" x14ac:dyDescent="0.35">
      <c r="A84" t="s">
        <v>80</v>
      </c>
      <c r="B84" t="s">
        <v>419</v>
      </c>
      <c r="C84" t="s">
        <v>581</v>
      </c>
      <c r="D84" s="2" t="s">
        <v>583</v>
      </c>
      <c r="E84" s="1" t="s">
        <v>593</v>
      </c>
      <c r="F84" s="3">
        <v>94</v>
      </c>
      <c r="G84" s="4">
        <v>150000</v>
      </c>
      <c r="H84" s="5">
        <v>143</v>
      </c>
      <c r="I84" s="6">
        <v>45812</v>
      </c>
      <c r="J84" s="2" t="s">
        <v>597</v>
      </c>
      <c r="K84" s="15">
        <f>PRODUCT(Table24[[#This Row],[Ticket Price]],Table24[[#This Row],[Passenger Count]])</f>
        <v>21450000</v>
      </c>
      <c r="L84" s="15">
        <f>Table24[[#This Row],[Revenue]]*(1-$Q$2)</f>
        <v>19305000</v>
      </c>
      <c r="M84" t="str">
        <f t="shared" si="1"/>
        <v>Late</v>
      </c>
    </row>
    <row r="85" spans="1:13" x14ac:dyDescent="0.35">
      <c r="A85" t="s">
        <v>81</v>
      </c>
      <c r="B85" t="s">
        <v>420</v>
      </c>
      <c r="C85" t="s">
        <v>587</v>
      </c>
      <c r="D85" s="2" t="s">
        <v>591</v>
      </c>
      <c r="E85" s="1" t="s">
        <v>592</v>
      </c>
      <c r="F85" s="3">
        <v>11</v>
      </c>
      <c r="G85" s="4">
        <v>45000</v>
      </c>
      <c r="H85" s="5">
        <v>67</v>
      </c>
      <c r="I85" s="6">
        <v>45824</v>
      </c>
      <c r="J85" s="2" t="s">
        <v>597</v>
      </c>
      <c r="K85" s="15">
        <f>PRODUCT(Table24[[#This Row],[Ticket Price]],Table24[[#This Row],[Passenger Count]])</f>
        <v>3015000</v>
      </c>
      <c r="L85" s="15">
        <f>Table24[[#This Row],[Revenue]]*(1-$Q$2)</f>
        <v>2713500</v>
      </c>
      <c r="M85" t="str">
        <f t="shared" si="1"/>
        <v>Slight Delay</v>
      </c>
    </row>
    <row r="86" spans="1:13" x14ac:dyDescent="0.35">
      <c r="A86" t="s">
        <v>82</v>
      </c>
      <c r="B86" t="s">
        <v>421</v>
      </c>
      <c r="C86" t="s">
        <v>586</v>
      </c>
      <c r="D86" s="2" t="s">
        <v>589</v>
      </c>
      <c r="E86" s="1" t="s">
        <v>596</v>
      </c>
      <c r="F86" s="3">
        <v>46</v>
      </c>
      <c r="G86" s="4">
        <v>35000</v>
      </c>
      <c r="H86" s="5">
        <v>138</v>
      </c>
      <c r="I86" s="6">
        <v>45756</v>
      </c>
      <c r="J86" s="2" t="s">
        <v>598</v>
      </c>
      <c r="K86" s="15">
        <f>PRODUCT(Table24[[#This Row],[Ticket Price]],Table24[[#This Row],[Passenger Count]])</f>
        <v>4830000</v>
      </c>
      <c r="L86" s="15">
        <f>Table24[[#This Row],[Revenue]]*(1-$Q$2)</f>
        <v>4347000</v>
      </c>
      <c r="M86" t="str">
        <f t="shared" si="1"/>
        <v>Late</v>
      </c>
    </row>
    <row r="87" spans="1:13" x14ac:dyDescent="0.35">
      <c r="A87" t="s">
        <v>83</v>
      </c>
      <c r="B87" t="s">
        <v>422</v>
      </c>
      <c r="C87" t="s">
        <v>584</v>
      </c>
      <c r="D87" s="2" t="s">
        <v>587</v>
      </c>
      <c r="E87" s="1" t="s">
        <v>595</v>
      </c>
      <c r="F87" s="3">
        <v>31</v>
      </c>
      <c r="G87" s="4">
        <v>50000</v>
      </c>
      <c r="H87" s="5">
        <v>149</v>
      </c>
      <c r="I87" s="6">
        <v>45813</v>
      </c>
      <c r="J87" s="2" t="s">
        <v>598</v>
      </c>
      <c r="K87" s="15">
        <f>PRODUCT(Table24[[#This Row],[Ticket Price]],Table24[[#This Row],[Passenger Count]])</f>
        <v>7450000</v>
      </c>
      <c r="L87" s="15">
        <f>Table24[[#This Row],[Revenue]]*(1-$Q$2)</f>
        <v>6705000</v>
      </c>
      <c r="M87" t="str">
        <f t="shared" si="1"/>
        <v>Late</v>
      </c>
    </row>
    <row r="88" spans="1:13" x14ac:dyDescent="0.35">
      <c r="A88" t="s">
        <v>84</v>
      </c>
      <c r="B88" t="s">
        <v>373</v>
      </c>
      <c r="C88" t="s">
        <v>587</v>
      </c>
      <c r="D88" s="2" t="s">
        <v>582</v>
      </c>
      <c r="E88" s="1" t="s">
        <v>592</v>
      </c>
      <c r="F88" s="3">
        <v>112</v>
      </c>
      <c r="G88" s="4">
        <v>85000</v>
      </c>
      <c r="H88" s="5">
        <v>96</v>
      </c>
      <c r="I88" s="6">
        <v>45825</v>
      </c>
      <c r="J88" s="2" t="s">
        <v>597</v>
      </c>
      <c r="K88" s="15">
        <f>PRODUCT(Table24[[#This Row],[Ticket Price]],Table24[[#This Row],[Passenger Count]])</f>
        <v>8160000</v>
      </c>
      <c r="L88" s="15">
        <f>Table24[[#This Row],[Revenue]]*(1-$Q$2)</f>
        <v>7344000</v>
      </c>
      <c r="M88" t="str">
        <f t="shared" si="1"/>
        <v>Late</v>
      </c>
    </row>
    <row r="89" spans="1:13" x14ac:dyDescent="0.35">
      <c r="A89" t="s">
        <v>85</v>
      </c>
      <c r="B89" t="s">
        <v>423</v>
      </c>
      <c r="C89" t="s">
        <v>587</v>
      </c>
      <c r="D89" s="2" t="s">
        <v>585</v>
      </c>
      <c r="E89" s="1" t="s">
        <v>595</v>
      </c>
      <c r="F89" s="3">
        <v>85</v>
      </c>
      <c r="G89" s="4">
        <v>65000</v>
      </c>
      <c r="H89" s="5">
        <v>131</v>
      </c>
      <c r="I89" s="6">
        <v>45692</v>
      </c>
      <c r="J89" s="2" t="s">
        <v>597</v>
      </c>
      <c r="K89" s="15">
        <f>PRODUCT(Table24[[#This Row],[Ticket Price]],Table24[[#This Row],[Passenger Count]])</f>
        <v>8515000</v>
      </c>
      <c r="L89" s="15">
        <f>Table24[[#This Row],[Revenue]]*(1-$Q$2)</f>
        <v>7663500</v>
      </c>
      <c r="M89" t="str">
        <f t="shared" si="1"/>
        <v>Late</v>
      </c>
    </row>
    <row r="90" spans="1:13" x14ac:dyDescent="0.35">
      <c r="A90" t="s">
        <v>86</v>
      </c>
      <c r="B90" t="s">
        <v>424</v>
      </c>
      <c r="C90" t="s">
        <v>584</v>
      </c>
      <c r="D90" s="2" t="s">
        <v>590</v>
      </c>
      <c r="E90" s="1" t="s">
        <v>593</v>
      </c>
      <c r="F90" s="3">
        <v>168</v>
      </c>
      <c r="G90" s="4">
        <v>135000</v>
      </c>
      <c r="H90" s="5">
        <v>97</v>
      </c>
      <c r="I90" s="6">
        <v>45798</v>
      </c>
      <c r="J90" s="2" t="s">
        <v>598</v>
      </c>
      <c r="K90" s="15">
        <f>PRODUCT(Table24[[#This Row],[Ticket Price]],Table24[[#This Row],[Passenger Count]])</f>
        <v>13095000</v>
      </c>
      <c r="L90" s="15">
        <f>Table24[[#This Row],[Revenue]]*(1-$Q$2)</f>
        <v>11785500</v>
      </c>
      <c r="M90" t="str">
        <f t="shared" si="1"/>
        <v>Late</v>
      </c>
    </row>
    <row r="91" spans="1:13" x14ac:dyDescent="0.35">
      <c r="A91" t="s">
        <v>600</v>
      </c>
      <c r="B91" t="s">
        <v>425</v>
      </c>
      <c r="C91" t="s">
        <v>581</v>
      </c>
      <c r="D91" s="2" t="s">
        <v>589</v>
      </c>
      <c r="E91" s="1" t="s">
        <v>592</v>
      </c>
      <c r="F91" s="3">
        <v>115</v>
      </c>
      <c r="G91" s="4">
        <v>90000</v>
      </c>
      <c r="H91" s="5">
        <v>83</v>
      </c>
      <c r="I91" s="6">
        <v>45664</v>
      </c>
      <c r="J91" s="2" t="s">
        <v>598</v>
      </c>
      <c r="K91" s="15">
        <f>PRODUCT(Table24[[#This Row],[Ticket Price]],Table24[[#This Row],[Passenger Count]])</f>
        <v>7470000</v>
      </c>
      <c r="L91" s="15">
        <f>Table24[[#This Row],[Revenue]]*(1-$Q$2)</f>
        <v>6723000</v>
      </c>
      <c r="M91" t="str">
        <f t="shared" si="1"/>
        <v>Late</v>
      </c>
    </row>
    <row r="92" spans="1:13" x14ac:dyDescent="0.35">
      <c r="A92" t="s">
        <v>87</v>
      </c>
      <c r="B92" t="s">
        <v>409</v>
      </c>
      <c r="C92" t="s">
        <v>585</v>
      </c>
      <c r="D92" s="2" t="s">
        <v>583</v>
      </c>
      <c r="E92" s="1" t="s">
        <v>596</v>
      </c>
      <c r="F92" s="3">
        <v>60</v>
      </c>
      <c r="G92" s="4">
        <v>75000</v>
      </c>
      <c r="H92" s="5">
        <v>125</v>
      </c>
      <c r="I92" s="6">
        <v>45782</v>
      </c>
      <c r="J92" s="2" t="s">
        <v>598</v>
      </c>
      <c r="K92" s="15">
        <f>PRODUCT(Table24[[#This Row],[Ticket Price]],Table24[[#This Row],[Passenger Count]])</f>
        <v>9375000</v>
      </c>
      <c r="L92" s="15">
        <f>Table24[[#This Row],[Revenue]]*(1-$Q$2)</f>
        <v>8437500</v>
      </c>
      <c r="M92" t="str">
        <f t="shared" si="1"/>
        <v>Late</v>
      </c>
    </row>
    <row r="93" spans="1:13" x14ac:dyDescent="0.35">
      <c r="A93" t="s">
        <v>88</v>
      </c>
      <c r="B93" t="s">
        <v>415</v>
      </c>
      <c r="C93" t="s">
        <v>583</v>
      </c>
      <c r="D93" s="2" t="s">
        <v>587</v>
      </c>
      <c r="E93" s="1" t="s">
        <v>594</v>
      </c>
      <c r="F93" s="3">
        <v>80</v>
      </c>
      <c r="G93" s="4">
        <v>115000</v>
      </c>
      <c r="H93" s="5">
        <v>112</v>
      </c>
      <c r="I93" s="6">
        <v>45798</v>
      </c>
      <c r="J93" s="2" t="s">
        <v>597</v>
      </c>
      <c r="K93" s="15">
        <f>PRODUCT(Table24[[#This Row],[Ticket Price]],Table24[[#This Row],[Passenger Count]])</f>
        <v>12880000</v>
      </c>
      <c r="L93" s="15">
        <f>Table24[[#This Row],[Revenue]]*(1-$Q$2)</f>
        <v>11592000</v>
      </c>
      <c r="M93" t="str">
        <f t="shared" si="1"/>
        <v>Late</v>
      </c>
    </row>
    <row r="94" spans="1:13" x14ac:dyDescent="0.35">
      <c r="A94" t="s">
        <v>89</v>
      </c>
      <c r="B94" t="s">
        <v>426</v>
      </c>
      <c r="C94" t="s">
        <v>588</v>
      </c>
      <c r="D94" s="2" t="s">
        <v>589</v>
      </c>
      <c r="E94" s="1" t="s">
        <v>595</v>
      </c>
      <c r="F94" s="3">
        <v>118</v>
      </c>
      <c r="G94" s="4">
        <v>90000</v>
      </c>
      <c r="H94" s="5">
        <v>95</v>
      </c>
      <c r="I94" s="6">
        <v>45761</v>
      </c>
      <c r="J94" s="2" t="s">
        <v>597</v>
      </c>
      <c r="K94" s="15">
        <f>PRODUCT(Table24[[#This Row],[Ticket Price]],Table24[[#This Row],[Passenger Count]])</f>
        <v>8550000</v>
      </c>
      <c r="L94" s="15">
        <f>Table24[[#This Row],[Revenue]]*(1-$Q$2)</f>
        <v>7695000</v>
      </c>
      <c r="M94" t="str">
        <f t="shared" si="1"/>
        <v>Late</v>
      </c>
    </row>
    <row r="95" spans="1:13" x14ac:dyDescent="0.35">
      <c r="A95" t="s">
        <v>90</v>
      </c>
      <c r="B95" t="s">
        <v>370</v>
      </c>
      <c r="C95" t="s">
        <v>581</v>
      </c>
      <c r="D95" s="2" t="s">
        <v>585</v>
      </c>
      <c r="E95" s="1" t="s">
        <v>595</v>
      </c>
      <c r="F95" s="3">
        <v>180</v>
      </c>
      <c r="G95" s="4">
        <v>75000</v>
      </c>
      <c r="H95" s="5">
        <v>65</v>
      </c>
      <c r="I95" s="6">
        <v>45690</v>
      </c>
      <c r="J95" s="2" t="s">
        <v>598</v>
      </c>
      <c r="K95" s="15">
        <f>PRODUCT(Table24[[#This Row],[Ticket Price]],Table24[[#This Row],[Passenger Count]])</f>
        <v>4875000</v>
      </c>
      <c r="L95" s="15">
        <f>Table24[[#This Row],[Revenue]]*(1-$Q$2)</f>
        <v>4387500</v>
      </c>
      <c r="M95" t="str">
        <f t="shared" si="1"/>
        <v>Late</v>
      </c>
    </row>
    <row r="96" spans="1:13" x14ac:dyDescent="0.35">
      <c r="A96" t="s">
        <v>91</v>
      </c>
      <c r="B96" t="s">
        <v>427</v>
      </c>
      <c r="C96" t="s">
        <v>583</v>
      </c>
      <c r="D96" s="2" t="s">
        <v>591</v>
      </c>
      <c r="E96" s="1" t="s">
        <v>593</v>
      </c>
      <c r="F96" s="3">
        <v>35</v>
      </c>
      <c r="G96" s="4">
        <v>75000</v>
      </c>
      <c r="H96" s="5">
        <v>173</v>
      </c>
      <c r="I96" s="6">
        <v>45811</v>
      </c>
      <c r="J96" s="2" t="s">
        <v>598</v>
      </c>
      <c r="K96" s="15">
        <f>PRODUCT(Table24[[#This Row],[Ticket Price]],Table24[[#This Row],[Passenger Count]])</f>
        <v>12975000</v>
      </c>
      <c r="L96" s="15">
        <f>Table24[[#This Row],[Revenue]]*(1-$Q$2)</f>
        <v>11677500</v>
      </c>
      <c r="M96" t="str">
        <f t="shared" si="1"/>
        <v>Late</v>
      </c>
    </row>
    <row r="97" spans="1:13" x14ac:dyDescent="0.35">
      <c r="A97" t="s">
        <v>92</v>
      </c>
      <c r="B97" t="s">
        <v>428</v>
      </c>
      <c r="C97" t="s">
        <v>585</v>
      </c>
      <c r="D97" s="2" t="s">
        <v>590</v>
      </c>
      <c r="E97" s="1" t="s">
        <v>595</v>
      </c>
      <c r="F97" s="3">
        <v>48</v>
      </c>
      <c r="G97" s="4">
        <v>65000</v>
      </c>
      <c r="H97" s="5">
        <v>175</v>
      </c>
      <c r="I97" s="6">
        <v>45796</v>
      </c>
      <c r="J97" s="2" t="s">
        <v>597</v>
      </c>
      <c r="K97" s="15">
        <f>PRODUCT(Table24[[#This Row],[Ticket Price]],Table24[[#This Row],[Passenger Count]])</f>
        <v>11375000</v>
      </c>
      <c r="L97" s="15">
        <f>Table24[[#This Row],[Revenue]]*(1-$Q$2)</f>
        <v>10237500</v>
      </c>
      <c r="M97" t="str">
        <f t="shared" si="1"/>
        <v>Late</v>
      </c>
    </row>
    <row r="98" spans="1:13" x14ac:dyDescent="0.35">
      <c r="A98" t="s">
        <v>93</v>
      </c>
      <c r="B98" t="s">
        <v>429</v>
      </c>
      <c r="C98" t="s">
        <v>584</v>
      </c>
      <c r="D98" s="2" t="s">
        <v>585</v>
      </c>
      <c r="E98" s="1" t="s">
        <v>592</v>
      </c>
      <c r="F98" s="3">
        <v>11</v>
      </c>
      <c r="G98" s="4">
        <v>60000</v>
      </c>
      <c r="H98" s="5">
        <v>87</v>
      </c>
      <c r="I98" s="6">
        <v>45734</v>
      </c>
      <c r="J98" s="2" t="s">
        <v>597</v>
      </c>
      <c r="K98" s="15">
        <f>PRODUCT(Table24[[#This Row],[Ticket Price]],Table24[[#This Row],[Passenger Count]])</f>
        <v>5220000</v>
      </c>
      <c r="L98" s="15">
        <f>Table24[[#This Row],[Revenue]]*(1-$Q$2)</f>
        <v>4698000</v>
      </c>
      <c r="M98" t="str">
        <f t="shared" si="1"/>
        <v>Slight Delay</v>
      </c>
    </row>
    <row r="99" spans="1:13" x14ac:dyDescent="0.35">
      <c r="A99" t="s">
        <v>94</v>
      </c>
      <c r="B99" t="s">
        <v>405</v>
      </c>
      <c r="C99" t="s">
        <v>586</v>
      </c>
      <c r="D99" s="2" t="s">
        <v>589</v>
      </c>
      <c r="E99" s="1" t="s">
        <v>594</v>
      </c>
      <c r="F99" s="3">
        <v>180</v>
      </c>
      <c r="G99" s="4">
        <v>125000</v>
      </c>
      <c r="H99" s="5">
        <v>67</v>
      </c>
      <c r="I99" s="6">
        <v>45805</v>
      </c>
      <c r="J99" s="2" t="s">
        <v>598</v>
      </c>
      <c r="K99" s="15">
        <f>PRODUCT(Table24[[#This Row],[Ticket Price]],Table24[[#This Row],[Passenger Count]])</f>
        <v>8375000</v>
      </c>
      <c r="L99" s="15">
        <f>Table24[[#This Row],[Revenue]]*(1-$Q$2)</f>
        <v>7537500</v>
      </c>
      <c r="M99" t="str">
        <f t="shared" si="1"/>
        <v>Late</v>
      </c>
    </row>
    <row r="100" spans="1:13" x14ac:dyDescent="0.35">
      <c r="A100" t="s">
        <v>95</v>
      </c>
      <c r="B100" t="s">
        <v>389</v>
      </c>
      <c r="C100" t="s">
        <v>582</v>
      </c>
      <c r="D100" s="2" t="s">
        <v>590</v>
      </c>
      <c r="E100" s="1" t="s">
        <v>595</v>
      </c>
      <c r="F100" s="3">
        <v>137</v>
      </c>
      <c r="G100" s="4">
        <v>30000</v>
      </c>
      <c r="H100" s="5">
        <v>96</v>
      </c>
      <c r="I100" s="6">
        <v>45679</v>
      </c>
      <c r="J100" s="2" t="s">
        <v>597</v>
      </c>
      <c r="K100" s="15">
        <f>PRODUCT(Table24[[#This Row],[Ticket Price]],Table24[[#This Row],[Passenger Count]])</f>
        <v>2880000</v>
      </c>
      <c r="L100" s="15">
        <f>Table24[[#This Row],[Revenue]]*(1-$Q$2)</f>
        <v>2592000</v>
      </c>
      <c r="M100" t="str">
        <f t="shared" si="1"/>
        <v>Late</v>
      </c>
    </row>
    <row r="101" spans="1:13" x14ac:dyDescent="0.35">
      <c r="A101" t="s">
        <v>96</v>
      </c>
      <c r="B101" t="s">
        <v>430</v>
      </c>
      <c r="C101" t="s">
        <v>584</v>
      </c>
      <c r="D101" s="2" t="s">
        <v>583</v>
      </c>
      <c r="E101" s="1" t="s">
        <v>595</v>
      </c>
      <c r="F101" s="3">
        <v>55</v>
      </c>
      <c r="G101" s="4">
        <v>115000</v>
      </c>
      <c r="H101" s="5">
        <v>140</v>
      </c>
      <c r="I101" s="6">
        <v>45685</v>
      </c>
      <c r="J101" s="2" t="s">
        <v>598</v>
      </c>
      <c r="K101" s="15">
        <f>PRODUCT(Table24[[#This Row],[Ticket Price]],Table24[[#This Row],[Passenger Count]])</f>
        <v>16100000</v>
      </c>
      <c r="L101" s="15">
        <f>Table24[[#This Row],[Revenue]]*(1-$Q$2)</f>
        <v>14490000</v>
      </c>
      <c r="M101" t="str">
        <f t="shared" si="1"/>
        <v>Late</v>
      </c>
    </row>
    <row r="102" spans="1:13" x14ac:dyDescent="0.35">
      <c r="A102" t="s">
        <v>97</v>
      </c>
      <c r="B102" t="s">
        <v>385</v>
      </c>
      <c r="C102" t="s">
        <v>581</v>
      </c>
      <c r="D102" s="2" t="s">
        <v>582</v>
      </c>
      <c r="E102" s="1" t="s">
        <v>595</v>
      </c>
      <c r="F102" s="3">
        <v>150</v>
      </c>
      <c r="G102" s="4">
        <v>95000</v>
      </c>
      <c r="H102" s="5">
        <v>122</v>
      </c>
      <c r="I102" s="6">
        <v>45828</v>
      </c>
      <c r="J102" s="2" t="s">
        <v>598</v>
      </c>
      <c r="K102" s="15">
        <f>PRODUCT(Table24[[#This Row],[Ticket Price]],Table24[[#This Row],[Passenger Count]])</f>
        <v>11590000</v>
      </c>
      <c r="L102" s="15">
        <f>Table24[[#This Row],[Revenue]]*(1-$Q$2)</f>
        <v>10431000</v>
      </c>
      <c r="M102" t="str">
        <f t="shared" si="1"/>
        <v>Late</v>
      </c>
    </row>
    <row r="103" spans="1:13" x14ac:dyDescent="0.35">
      <c r="A103" t="s">
        <v>98</v>
      </c>
      <c r="B103" t="s">
        <v>431</v>
      </c>
      <c r="C103" t="s">
        <v>586</v>
      </c>
      <c r="D103" s="2" t="s">
        <v>589</v>
      </c>
      <c r="E103" s="1" t="s">
        <v>592</v>
      </c>
      <c r="F103" s="3">
        <v>72</v>
      </c>
      <c r="G103" s="4">
        <v>105000</v>
      </c>
      <c r="H103" s="5">
        <v>129</v>
      </c>
      <c r="I103" s="6">
        <v>45805</v>
      </c>
      <c r="J103" s="2" t="s">
        <v>598</v>
      </c>
      <c r="K103" s="15">
        <f>PRODUCT(Table24[[#This Row],[Ticket Price]],Table24[[#This Row],[Passenger Count]])</f>
        <v>13545000</v>
      </c>
      <c r="L103" s="15">
        <f>Table24[[#This Row],[Revenue]]*(1-$Q$2)</f>
        <v>12190500</v>
      </c>
      <c r="M103" t="str">
        <f t="shared" si="1"/>
        <v>Late</v>
      </c>
    </row>
    <row r="104" spans="1:13" x14ac:dyDescent="0.35">
      <c r="A104" t="s">
        <v>99</v>
      </c>
      <c r="B104" t="s">
        <v>423</v>
      </c>
      <c r="C104" t="s">
        <v>581</v>
      </c>
      <c r="D104" s="2" t="s">
        <v>584</v>
      </c>
      <c r="E104" s="1" t="s">
        <v>594</v>
      </c>
      <c r="F104" s="3">
        <v>96</v>
      </c>
      <c r="G104" s="4">
        <v>65000</v>
      </c>
      <c r="H104" s="5">
        <v>126</v>
      </c>
      <c r="I104" s="6">
        <v>45808</v>
      </c>
      <c r="J104" s="2" t="s">
        <v>597</v>
      </c>
      <c r="K104" s="15">
        <f>PRODUCT(Table24[[#This Row],[Ticket Price]],Table24[[#This Row],[Passenger Count]])</f>
        <v>8190000</v>
      </c>
      <c r="L104" s="15">
        <f>Table24[[#This Row],[Revenue]]*(1-$Q$2)</f>
        <v>7371000</v>
      </c>
      <c r="M104" t="str">
        <f t="shared" si="1"/>
        <v>Late</v>
      </c>
    </row>
    <row r="105" spans="1:13" x14ac:dyDescent="0.35">
      <c r="A105" t="s">
        <v>100</v>
      </c>
      <c r="B105" t="s">
        <v>432</v>
      </c>
      <c r="C105" t="s">
        <v>582</v>
      </c>
      <c r="D105" s="2" t="s">
        <v>583</v>
      </c>
      <c r="E105" s="1" t="s">
        <v>596</v>
      </c>
      <c r="F105" s="3">
        <v>75</v>
      </c>
      <c r="G105" s="4">
        <v>145000</v>
      </c>
      <c r="H105" s="5">
        <v>120</v>
      </c>
      <c r="I105" s="6">
        <v>45727</v>
      </c>
      <c r="J105" s="2" t="s">
        <v>597</v>
      </c>
      <c r="K105" s="15">
        <f>PRODUCT(Table24[[#This Row],[Ticket Price]],Table24[[#This Row],[Passenger Count]])</f>
        <v>17400000</v>
      </c>
      <c r="L105" s="15">
        <f>Table24[[#This Row],[Revenue]]*(1-$Q$2)</f>
        <v>15660000</v>
      </c>
      <c r="M105" t="str">
        <f t="shared" si="1"/>
        <v>Late</v>
      </c>
    </row>
    <row r="106" spans="1:13" x14ac:dyDescent="0.35">
      <c r="A106" t="s">
        <v>101</v>
      </c>
      <c r="B106" t="s">
        <v>433</v>
      </c>
      <c r="C106" t="s">
        <v>585</v>
      </c>
      <c r="D106" s="2" t="s">
        <v>589</v>
      </c>
      <c r="E106" s="1" t="s">
        <v>592</v>
      </c>
      <c r="F106" s="3">
        <v>158</v>
      </c>
      <c r="G106" s="4">
        <v>65000</v>
      </c>
      <c r="H106" s="5">
        <v>108</v>
      </c>
      <c r="I106" s="6">
        <v>45836</v>
      </c>
      <c r="J106" s="2" t="s">
        <v>597</v>
      </c>
      <c r="K106" s="15">
        <f>PRODUCT(Table24[[#This Row],[Ticket Price]],Table24[[#This Row],[Passenger Count]])</f>
        <v>7020000</v>
      </c>
      <c r="L106" s="15">
        <f>Table24[[#This Row],[Revenue]]*(1-$Q$2)</f>
        <v>6318000</v>
      </c>
      <c r="M106" t="str">
        <f t="shared" si="1"/>
        <v>Late</v>
      </c>
    </row>
    <row r="107" spans="1:13" x14ac:dyDescent="0.35">
      <c r="A107" t="s">
        <v>102</v>
      </c>
      <c r="B107" t="s">
        <v>434</v>
      </c>
      <c r="C107" t="s">
        <v>582</v>
      </c>
      <c r="D107" s="2" t="s">
        <v>589</v>
      </c>
      <c r="E107" s="1" t="s">
        <v>592</v>
      </c>
      <c r="F107" s="3">
        <v>127</v>
      </c>
      <c r="G107" s="4">
        <v>80000</v>
      </c>
      <c r="H107" s="5">
        <v>60</v>
      </c>
      <c r="I107" s="6">
        <v>45742</v>
      </c>
      <c r="J107" s="2" t="s">
        <v>597</v>
      </c>
      <c r="K107" s="15">
        <f>PRODUCT(Table24[[#This Row],[Ticket Price]],Table24[[#This Row],[Passenger Count]])</f>
        <v>4800000</v>
      </c>
      <c r="L107" s="15">
        <f>Table24[[#This Row],[Revenue]]*(1-$Q$2)</f>
        <v>4320000</v>
      </c>
      <c r="M107" t="str">
        <f t="shared" si="1"/>
        <v>Late</v>
      </c>
    </row>
    <row r="108" spans="1:13" x14ac:dyDescent="0.35">
      <c r="A108" t="s">
        <v>103</v>
      </c>
      <c r="B108" t="s">
        <v>435</v>
      </c>
      <c r="C108" t="s">
        <v>587</v>
      </c>
      <c r="D108" s="2" t="s">
        <v>583</v>
      </c>
      <c r="E108" s="1" t="s">
        <v>592</v>
      </c>
      <c r="F108" s="3">
        <v>12</v>
      </c>
      <c r="G108" s="4">
        <v>95000</v>
      </c>
      <c r="H108" s="5">
        <v>82</v>
      </c>
      <c r="I108" s="6">
        <v>45751</v>
      </c>
      <c r="J108" s="2" t="s">
        <v>597</v>
      </c>
      <c r="K108" s="15">
        <f>PRODUCT(Table24[[#This Row],[Ticket Price]],Table24[[#This Row],[Passenger Count]])</f>
        <v>7790000</v>
      </c>
      <c r="L108" s="15">
        <f>Table24[[#This Row],[Revenue]]*(1-$Q$2)</f>
        <v>7011000</v>
      </c>
      <c r="M108" t="str">
        <f t="shared" si="1"/>
        <v>Slight Delay</v>
      </c>
    </row>
    <row r="109" spans="1:13" x14ac:dyDescent="0.35">
      <c r="A109" t="s">
        <v>104</v>
      </c>
      <c r="B109" t="s">
        <v>427</v>
      </c>
      <c r="C109" t="s">
        <v>588</v>
      </c>
      <c r="D109" s="2" t="s">
        <v>587</v>
      </c>
      <c r="E109" s="1" t="s">
        <v>593</v>
      </c>
      <c r="F109" s="3">
        <v>146</v>
      </c>
      <c r="G109" s="4">
        <v>55000</v>
      </c>
      <c r="H109" s="5">
        <v>165</v>
      </c>
      <c r="I109" s="6">
        <v>45725</v>
      </c>
      <c r="J109" s="2" t="s">
        <v>597</v>
      </c>
      <c r="K109" s="15">
        <f>PRODUCT(Table24[[#This Row],[Ticket Price]],Table24[[#This Row],[Passenger Count]])</f>
        <v>9075000</v>
      </c>
      <c r="L109" s="15">
        <f>Table24[[#This Row],[Revenue]]*(1-$Q$2)</f>
        <v>8167500</v>
      </c>
      <c r="M109" t="str">
        <f t="shared" si="1"/>
        <v>Late</v>
      </c>
    </row>
    <row r="110" spans="1:13" x14ac:dyDescent="0.35">
      <c r="A110" t="s">
        <v>105</v>
      </c>
      <c r="B110" t="s">
        <v>436</v>
      </c>
      <c r="C110" t="s">
        <v>585</v>
      </c>
      <c r="D110" s="2" t="s">
        <v>584</v>
      </c>
      <c r="E110" s="1" t="s">
        <v>596</v>
      </c>
      <c r="F110" s="3">
        <v>35</v>
      </c>
      <c r="G110" s="4">
        <v>85000</v>
      </c>
      <c r="H110" s="5">
        <v>152</v>
      </c>
      <c r="I110" s="6">
        <v>45666</v>
      </c>
      <c r="J110" s="2" t="s">
        <v>597</v>
      </c>
      <c r="K110" s="15">
        <f>PRODUCT(Table24[[#This Row],[Ticket Price]],Table24[[#This Row],[Passenger Count]])</f>
        <v>12920000</v>
      </c>
      <c r="L110" s="15">
        <f>Table24[[#This Row],[Revenue]]*(1-$Q$2)</f>
        <v>11628000</v>
      </c>
      <c r="M110" t="str">
        <f t="shared" si="1"/>
        <v>Late</v>
      </c>
    </row>
    <row r="111" spans="1:13" x14ac:dyDescent="0.35">
      <c r="A111" t="s">
        <v>106</v>
      </c>
      <c r="B111" t="s">
        <v>437</v>
      </c>
      <c r="C111" t="s">
        <v>584</v>
      </c>
      <c r="D111" s="2" t="s">
        <v>589</v>
      </c>
      <c r="E111" s="1" t="s">
        <v>592</v>
      </c>
      <c r="F111" s="3">
        <v>159</v>
      </c>
      <c r="G111" s="4">
        <v>100000</v>
      </c>
      <c r="H111" s="5">
        <v>66</v>
      </c>
      <c r="I111" s="6">
        <v>45716</v>
      </c>
      <c r="J111" s="2" t="s">
        <v>598</v>
      </c>
      <c r="K111" s="15">
        <f>PRODUCT(Table24[[#This Row],[Ticket Price]],Table24[[#This Row],[Passenger Count]])</f>
        <v>6600000</v>
      </c>
      <c r="L111" s="15">
        <f>Table24[[#This Row],[Revenue]]*(1-$Q$2)</f>
        <v>5940000</v>
      </c>
      <c r="M111" t="str">
        <f t="shared" si="1"/>
        <v>Late</v>
      </c>
    </row>
    <row r="112" spans="1:13" x14ac:dyDescent="0.35">
      <c r="A112" t="s">
        <v>107</v>
      </c>
      <c r="B112" t="s">
        <v>438</v>
      </c>
      <c r="C112" t="s">
        <v>585</v>
      </c>
      <c r="D112" s="2" t="s">
        <v>591</v>
      </c>
      <c r="E112" s="1" t="s">
        <v>596</v>
      </c>
      <c r="F112" s="3">
        <v>154</v>
      </c>
      <c r="G112" s="4">
        <v>105000</v>
      </c>
      <c r="H112" s="5">
        <v>167</v>
      </c>
      <c r="I112" s="6">
        <v>45662</v>
      </c>
      <c r="J112" s="2" t="s">
        <v>597</v>
      </c>
      <c r="K112" s="15">
        <f>PRODUCT(Table24[[#This Row],[Ticket Price]],Table24[[#This Row],[Passenger Count]])</f>
        <v>17535000</v>
      </c>
      <c r="L112" s="15">
        <f>Table24[[#This Row],[Revenue]]*(1-$Q$2)</f>
        <v>15781500</v>
      </c>
      <c r="M112" t="str">
        <f t="shared" si="1"/>
        <v>Late</v>
      </c>
    </row>
    <row r="113" spans="1:13" x14ac:dyDescent="0.35">
      <c r="A113" t="s">
        <v>108</v>
      </c>
      <c r="B113" t="s">
        <v>431</v>
      </c>
      <c r="C113" t="s">
        <v>581</v>
      </c>
      <c r="D113" s="2" t="s">
        <v>589</v>
      </c>
      <c r="E113" s="1" t="s">
        <v>594</v>
      </c>
      <c r="F113" s="3">
        <v>174</v>
      </c>
      <c r="G113" s="4">
        <v>35000</v>
      </c>
      <c r="H113" s="5">
        <v>103</v>
      </c>
      <c r="I113" s="6">
        <v>45730</v>
      </c>
      <c r="J113" s="2" t="s">
        <v>597</v>
      </c>
      <c r="K113" s="15">
        <f>PRODUCT(Table24[[#This Row],[Ticket Price]],Table24[[#This Row],[Passenger Count]])</f>
        <v>3605000</v>
      </c>
      <c r="L113" s="15">
        <f>Table24[[#This Row],[Revenue]]*(1-$Q$2)</f>
        <v>3244500</v>
      </c>
      <c r="M113" t="str">
        <f t="shared" si="1"/>
        <v>Late</v>
      </c>
    </row>
    <row r="114" spans="1:13" x14ac:dyDescent="0.35">
      <c r="A114" t="s">
        <v>109</v>
      </c>
      <c r="B114" t="s">
        <v>439</v>
      </c>
      <c r="C114" t="s">
        <v>586</v>
      </c>
      <c r="D114" s="2" t="s">
        <v>583</v>
      </c>
      <c r="E114" s="1" t="s">
        <v>593</v>
      </c>
      <c r="F114" s="3">
        <v>83</v>
      </c>
      <c r="G114" s="4">
        <v>50000</v>
      </c>
      <c r="H114" s="5">
        <v>122</v>
      </c>
      <c r="I114" s="6">
        <v>45816</v>
      </c>
      <c r="J114" s="2" t="s">
        <v>598</v>
      </c>
      <c r="K114" s="15">
        <f>PRODUCT(Table24[[#This Row],[Ticket Price]],Table24[[#This Row],[Passenger Count]])</f>
        <v>6100000</v>
      </c>
      <c r="L114" s="15">
        <f>Table24[[#This Row],[Revenue]]*(1-$Q$2)</f>
        <v>5490000</v>
      </c>
      <c r="M114" t="str">
        <f t="shared" si="1"/>
        <v>Late</v>
      </c>
    </row>
    <row r="115" spans="1:13" x14ac:dyDescent="0.35">
      <c r="A115" t="s">
        <v>110</v>
      </c>
      <c r="B115" t="s">
        <v>440</v>
      </c>
      <c r="C115" t="s">
        <v>587</v>
      </c>
      <c r="D115" s="2" t="s">
        <v>589</v>
      </c>
      <c r="E115" s="1" t="s">
        <v>595</v>
      </c>
      <c r="F115" s="3">
        <v>180</v>
      </c>
      <c r="G115" s="4">
        <v>115000</v>
      </c>
      <c r="H115" s="5">
        <v>67</v>
      </c>
      <c r="I115" s="6">
        <v>45822</v>
      </c>
      <c r="J115" s="2" t="s">
        <v>598</v>
      </c>
      <c r="K115" s="15">
        <f>PRODUCT(Table24[[#This Row],[Ticket Price]],Table24[[#This Row],[Passenger Count]])</f>
        <v>7705000</v>
      </c>
      <c r="L115" s="15">
        <f>Table24[[#This Row],[Revenue]]*(1-$Q$2)</f>
        <v>6934500</v>
      </c>
      <c r="M115" t="str">
        <f t="shared" si="1"/>
        <v>Late</v>
      </c>
    </row>
    <row r="116" spans="1:13" x14ac:dyDescent="0.35">
      <c r="A116" t="s">
        <v>111</v>
      </c>
      <c r="B116" t="s">
        <v>368</v>
      </c>
      <c r="C116" t="s">
        <v>587</v>
      </c>
      <c r="D116" s="2" t="s">
        <v>584</v>
      </c>
      <c r="E116" s="1" t="s">
        <v>595</v>
      </c>
      <c r="F116" s="3">
        <v>41</v>
      </c>
      <c r="G116" s="4">
        <v>45000</v>
      </c>
      <c r="H116" s="5">
        <v>85</v>
      </c>
      <c r="I116" s="6">
        <v>45664</v>
      </c>
      <c r="J116" s="2" t="s">
        <v>597</v>
      </c>
      <c r="K116" s="15">
        <f>PRODUCT(Table24[[#This Row],[Ticket Price]],Table24[[#This Row],[Passenger Count]])</f>
        <v>3825000</v>
      </c>
      <c r="L116" s="15">
        <f>Table24[[#This Row],[Revenue]]*(1-$Q$2)</f>
        <v>3442500</v>
      </c>
      <c r="M116" t="str">
        <f t="shared" si="1"/>
        <v>Late</v>
      </c>
    </row>
    <row r="117" spans="1:13" x14ac:dyDescent="0.35">
      <c r="A117" t="s">
        <v>112</v>
      </c>
      <c r="B117" t="s">
        <v>441</v>
      </c>
      <c r="C117" t="s">
        <v>581</v>
      </c>
      <c r="D117" s="2" t="s">
        <v>589</v>
      </c>
      <c r="E117" s="1" t="s">
        <v>594</v>
      </c>
      <c r="F117" s="3">
        <v>91</v>
      </c>
      <c r="G117" s="4">
        <v>95000</v>
      </c>
      <c r="H117" s="5">
        <v>161</v>
      </c>
      <c r="I117" s="6">
        <v>45758</v>
      </c>
      <c r="J117" s="2" t="s">
        <v>598</v>
      </c>
      <c r="K117" s="15">
        <f>PRODUCT(Table24[[#This Row],[Ticket Price]],Table24[[#This Row],[Passenger Count]])</f>
        <v>15295000</v>
      </c>
      <c r="L117" s="15">
        <f>Table24[[#This Row],[Revenue]]*(1-$Q$2)</f>
        <v>13765500</v>
      </c>
      <c r="M117" t="str">
        <f t="shared" si="1"/>
        <v>Late</v>
      </c>
    </row>
    <row r="118" spans="1:13" x14ac:dyDescent="0.35">
      <c r="A118" t="s">
        <v>113</v>
      </c>
      <c r="B118" t="s">
        <v>442</v>
      </c>
      <c r="C118" t="s">
        <v>582</v>
      </c>
      <c r="D118" s="2" t="s">
        <v>583</v>
      </c>
      <c r="E118" s="1" t="s">
        <v>595</v>
      </c>
      <c r="F118" s="3">
        <v>175</v>
      </c>
      <c r="G118" s="4">
        <v>150000</v>
      </c>
      <c r="H118" s="5">
        <v>114</v>
      </c>
      <c r="I118" s="6">
        <v>45710</v>
      </c>
      <c r="J118" s="2" t="s">
        <v>598</v>
      </c>
      <c r="K118" s="15">
        <f>PRODUCT(Table24[[#This Row],[Ticket Price]],Table24[[#This Row],[Passenger Count]])</f>
        <v>17100000</v>
      </c>
      <c r="L118" s="15">
        <f>Table24[[#This Row],[Revenue]]*(1-$Q$2)</f>
        <v>15390000</v>
      </c>
      <c r="M118" t="str">
        <f t="shared" si="1"/>
        <v>Late</v>
      </c>
    </row>
    <row r="119" spans="1:13" x14ac:dyDescent="0.35">
      <c r="A119" t="s">
        <v>114</v>
      </c>
      <c r="B119" t="s">
        <v>443</v>
      </c>
      <c r="C119" t="s">
        <v>583</v>
      </c>
      <c r="D119" s="2" t="s">
        <v>587</v>
      </c>
      <c r="E119" s="1" t="s">
        <v>592</v>
      </c>
      <c r="F119" s="3">
        <v>118</v>
      </c>
      <c r="G119" s="4">
        <v>70000</v>
      </c>
      <c r="H119" s="5">
        <v>167</v>
      </c>
      <c r="I119" s="6">
        <v>45806</v>
      </c>
      <c r="J119" s="2" t="s">
        <v>597</v>
      </c>
      <c r="K119" s="15">
        <f>PRODUCT(Table24[[#This Row],[Ticket Price]],Table24[[#This Row],[Passenger Count]])</f>
        <v>11690000</v>
      </c>
      <c r="L119" s="15">
        <f>Table24[[#This Row],[Revenue]]*(1-$Q$2)</f>
        <v>10521000</v>
      </c>
      <c r="M119" t="str">
        <f t="shared" si="1"/>
        <v>Late</v>
      </c>
    </row>
    <row r="120" spans="1:13" x14ac:dyDescent="0.35">
      <c r="A120" t="s">
        <v>115</v>
      </c>
      <c r="B120" t="s">
        <v>397</v>
      </c>
      <c r="C120" t="s">
        <v>587</v>
      </c>
      <c r="D120" s="2" t="s">
        <v>591</v>
      </c>
      <c r="E120" s="1" t="s">
        <v>596</v>
      </c>
      <c r="F120" s="3">
        <v>127</v>
      </c>
      <c r="G120" s="4">
        <v>40000</v>
      </c>
      <c r="H120" s="5">
        <v>109</v>
      </c>
      <c r="I120" s="6">
        <v>45674</v>
      </c>
      <c r="J120" s="2" t="s">
        <v>597</v>
      </c>
      <c r="K120" s="15">
        <f>PRODUCT(Table24[[#This Row],[Ticket Price]],Table24[[#This Row],[Passenger Count]])</f>
        <v>4360000</v>
      </c>
      <c r="L120" s="15">
        <f>Table24[[#This Row],[Revenue]]*(1-$Q$2)</f>
        <v>3924000</v>
      </c>
      <c r="M120" t="str">
        <f t="shared" si="1"/>
        <v>Late</v>
      </c>
    </row>
    <row r="121" spans="1:13" x14ac:dyDescent="0.35">
      <c r="A121" t="s">
        <v>116</v>
      </c>
      <c r="B121" t="s">
        <v>444</v>
      </c>
      <c r="C121" t="s">
        <v>586</v>
      </c>
      <c r="D121" s="2" t="s">
        <v>585</v>
      </c>
      <c r="E121" s="1" t="s">
        <v>594</v>
      </c>
      <c r="F121" s="3">
        <v>42</v>
      </c>
      <c r="G121" s="4">
        <v>35000</v>
      </c>
      <c r="H121" s="5">
        <v>71</v>
      </c>
      <c r="I121" s="6">
        <v>45671</v>
      </c>
      <c r="J121" s="2" t="s">
        <v>598</v>
      </c>
      <c r="K121" s="15">
        <f>PRODUCT(Table24[[#This Row],[Ticket Price]],Table24[[#This Row],[Passenger Count]])</f>
        <v>2485000</v>
      </c>
      <c r="L121" s="15">
        <f>Table24[[#This Row],[Revenue]]*(1-$Q$2)</f>
        <v>2236500</v>
      </c>
      <c r="M121" t="str">
        <f t="shared" si="1"/>
        <v>Late</v>
      </c>
    </row>
    <row r="122" spans="1:13" x14ac:dyDescent="0.35">
      <c r="A122" t="s">
        <v>117</v>
      </c>
      <c r="B122" t="s">
        <v>445</v>
      </c>
      <c r="C122" t="s">
        <v>584</v>
      </c>
      <c r="D122" s="2" t="s">
        <v>590</v>
      </c>
      <c r="E122" s="1" t="s">
        <v>592</v>
      </c>
      <c r="F122" s="3">
        <v>112</v>
      </c>
      <c r="G122" s="4">
        <v>40000</v>
      </c>
      <c r="H122" s="5">
        <v>166</v>
      </c>
      <c r="I122" s="6">
        <v>45667</v>
      </c>
      <c r="J122" s="2" t="s">
        <v>597</v>
      </c>
      <c r="K122" s="15">
        <f>PRODUCT(Table24[[#This Row],[Ticket Price]],Table24[[#This Row],[Passenger Count]])</f>
        <v>6640000</v>
      </c>
      <c r="L122" s="15">
        <f>Table24[[#This Row],[Revenue]]*(1-$Q$2)</f>
        <v>5976000</v>
      </c>
      <c r="M122" t="str">
        <f t="shared" si="1"/>
        <v>Late</v>
      </c>
    </row>
    <row r="123" spans="1:13" x14ac:dyDescent="0.35">
      <c r="A123" t="s">
        <v>118</v>
      </c>
      <c r="B123" t="s">
        <v>388</v>
      </c>
      <c r="C123" t="s">
        <v>582</v>
      </c>
      <c r="D123" s="2" t="s">
        <v>584</v>
      </c>
      <c r="E123" s="1" t="s">
        <v>596</v>
      </c>
      <c r="F123" s="3">
        <v>26</v>
      </c>
      <c r="G123" s="4">
        <v>95000</v>
      </c>
      <c r="H123" s="5">
        <v>168</v>
      </c>
      <c r="I123" s="6">
        <v>45666</v>
      </c>
      <c r="J123" s="2" t="s">
        <v>597</v>
      </c>
      <c r="K123" s="15">
        <f>PRODUCT(Table24[[#This Row],[Ticket Price]],Table24[[#This Row],[Passenger Count]])</f>
        <v>15960000</v>
      </c>
      <c r="L123" s="15">
        <f>Table24[[#This Row],[Revenue]]*(1-$Q$2)</f>
        <v>14364000</v>
      </c>
      <c r="M123" t="str">
        <f t="shared" si="1"/>
        <v>Slight Delay</v>
      </c>
    </row>
    <row r="124" spans="1:13" x14ac:dyDescent="0.35">
      <c r="A124" t="s">
        <v>119</v>
      </c>
      <c r="B124" t="s">
        <v>446</v>
      </c>
      <c r="C124" t="s">
        <v>581</v>
      </c>
      <c r="D124" s="2" t="s">
        <v>591</v>
      </c>
      <c r="E124" s="1" t="s">
        <v>592</v>
      </c>
      <c r="F124" s="3">
        <v>97</v>
      </c>
      <c r="G124" s="4">
        <v>60000</v>
      </c>
      <c r="H124" s="5">
        <v>161</v>
      </c>
      <c r="I124" s="6">
        <v>45794</v>
      </c>
      <c r="J124" s="2" t="s">
        <v>598</v>
      </c>
      <c r="K124" s="15">
        <f>PRODUCT(Table24[[#This Row],[Ticket Price]],Table24[[#This Row],[Passenger Count]])</f>
        <v>9660000</v>
      </c>
      <c r="L124" s="15">
        <f>Table24[[#This Row],[Revenue]]*(1-$Q$2)</f>
        <v>8694000</v>
      </c>
      <c r="M124" t="str">
        <f t="shared" si="1"/>
        <v>Late</v>
      </c>
    </row>
    <row r="125" spans="1:13" x14ac:dyDescent="0.35">
      <c r="A125" t="s">
        <v>120</v>
      </c>
      <c r="B125" t="s">
        <v>412</v>
      </c>
      <c r="C125" t="s">
        <v>584</v>
      </c>
      <c r="D125" s="2" t="s">
        <v>590</v>
      </c>
      <c r="E125" s="1" t="s">
        <v>593</v>
      </c>
      <c r="F125" s="3">
        <v>-2</v>
      </c>
      <c r="G125" s="4">
        <v>85000</v>
      </c>
      <c r="H125" s="5">
        <v>76</v>
      </c>
      <c r="I125" s="6">
        <v>45838</v>
      </c>
      <c r="J125" s="2" t="s">
        <v>598</v>
      </c>
      <c r="K125" s="15">
        <f>PRODUCT(Table24[[#This Row],[Ticket Price]],Table24[[#This Row],[Passenger Count]])</f>
        <v>6460000</v>
      </c>
      <c r="L125" s="15">
        <f>Table24[[#This Row],[Revenue]]*(1-$Q$2)</f>
        <v>5814000</v>
      </c>
      <c r="M125" t="str">
        <f t="shared" si="1"/>
        <v>On Time</v>
      </c>
    </row>
    <row r="126" spans="1:13" x14ac:dyDescent="0.35">
      <c r="A126" t="s">
        <v>121</v>
      </c>
      <c r="B126" t="s">
        <v>406</v>
      </c>
      <c r="C126" t="s">
        <v>586</v>
      </c>
      <c r="D126" s="2" t="s">
        <v>585</v>
      </c>
      <c r="E126" s="1" t="s">
        <v>593</v>
      </c>
      <c r="F126" s="3">
        <v>150</v>
      </c>
      <c r="G126" s="4">
        <v>110000</v>
      </c>
      <c r="H126" s="5">
        <v>86</v>
      </c>
      <c r="I126" s="6">
        <v>45833</v>
      </c>
      <c r="J126" s="2" t="s">
        <v>597</v>
      </c>
      <c r="K126" s="15">
        <f>PRODUCT(Table24[[#This Row],[Ticket Price]],Table24[[#This Row],[Passenger Count]])</f>
        <v>9460000</v>
      </c>
      <c r="L126" s="15">
        <f>Table24[[#This Row],[Revenue]]*(1-$Q$2)</f>
        <v>8514000</v>
      </c>
      <c r="M126" t="str">
        <f t="shared" si="1"/>
        <v>Late</v>
      </c>
    </row>
    <row r="127" spans="1:13" x14ac:dyDescent="0.35">
      <c r="A127" t="s">
        <v>122</v>
      </c>
      <c r="B127" t="s">
        <v>447</v>
      </c>
      <c r="C127" t="s">
        <v>585</v>
      </c>
      <c r="D127" s="2" t="s">
        <v>583</v>
      </c>
      <c r="E127" s="1" t="s">
        <v>592</v>
      </c>
      <c r="F127" s="3">
        <v>67</v>
      </c>
      <c r="G127" s="4">
        <v>25000</v>
      </c>
      <c r="H127" s="5">
        <v>137</v>
      </c>
      <c r="I127" s="6">
        <v>45703</v>
      </c>
      <c r="J127" s="2" t="s">
        <v>597</v>
      </c>
      <c r="K127" s="15">
        <f>PRODUCT(Table24[[#This Row],[Ticket Price]],Table24[[#This Row],[Passenger Count]])</f>
        <v>3425000</v>
      </c>
      <c r="L127" s="15">
        <f>Table24[[#This Row],[Revenue]]*(1-$Q$2)</f>
        <v>3082500</v>
      </c>
      <c r="M127" t="str">
        <f t="shared" si="1"/>
        <v>Late</v>
      </c>
    </row>
    <row r="128" spans="1:13" x14ac:dyDescent="0.35">
      <c r="A128" t="s">
        <v>123</v>
      </c>
      <c r="B128" t="s">
        <v>448</v>
      </c>
      <c r="C128" t="s">
        <v>586</v>
      </c>
      <c r="D128" s="2" t="s">
        <v>583</v>
      </c>
      <c r="E128" s="1" t="s">
        <v>593</v>
      </c>
      <c r="F128" s="3">
        <v>29</v>
      </c>
      <c r="G128" s="4">
        <v>70000</v>
      </c>
      <c r="H128" s="5">
        <v>148</v>
      </c>
      <c r="I128" s="6">
        <v>45767</v>
      </c>
      <c r="J128" s="2" t="s">
        <v>597</v>
      </c>
      <c r="K128" s="15">
        <f>PRODUCT(Table24[[#This Row],[Ticket Price]],Table24[[#This Row],[Passenger Count]])</f>
        <v>10360000</v>
      </c>
      <c r="L128" s="15">
        <f>Table24[[#This Row],[Revenue]]*(1-$Q$2)</f>
        <v>9324000</v>
      </c>
      <c r="M128" t="str">
        <f t="shared" si="1"/>
        <v>Slight Delay</v>
      </c>
    </row>
    <row r="129" spans="1:13" x14ac:dyDescent="0.35">
      <c r="A129" t="s">
        <v>124</v>
      </c>
      <c r="B129" t="s">
        <v>449</v>
      </c>
      <c r="C129" t="s">
        <v>583</v>
      </c>
      <c r="D129" s="2" t="s">
        <v>584</v>
      </c>
      <c r="E129" s="1" t="s">
        <v>596</v>
      </c>
      <c r="F129" s="3">
        <v>125</v>
      </c>
      <c r="G129" s="4">
        <v>65000</v>
      </c>
      <c r="H129" s="5">
        <v>81</v>
      </c>
      <c r="I129" s="6">
        <v>45735</v>
      </c>
      <c r="J129" s="2" t="s">
        <v>597</v>
      </c>
      <c r="K129" s="15">
        <f>PRODUCT(Table24[[#This Row],[Ticket Price]],Table24[[#This Row],[Passenger Count]])</f>
        <v>5265000</v>
      </c>
      <c r="L129" s="15">
        <f>Table24[[#This Row],[Revenue]]*(1-$Q$2)</f>
        <v>4738500</v>
      </c>
      <c r="M129" t="str">
        <f t="shared" si="1"/>
        <v>Late</v>
      </c>
    </row>
    <row r="130" spans="1:13" x14ac:dyDescent="0.35">
      <c r="A130" t="s">
        <v>125</v>
      </c>
      <c r="B130" t="s">
        <v>381</v>
      </c>
      <c r="C130" t="s">
        <v>585</v>
      </c>
      <c r="D130" s="2" t="s">
        <v>587</v>
      </c>
      <c r="E130" s="1" t="s">
        <v>595</v>
      </c>
      <c r="F130" s="3">
        <v>17</v>
      </c>
      <c r="G130" s="4">
        <v>60000</v>
      </c>
      <c r="H130" s="5">
        <v>96</v>
      </c>
      <c r="I130" s="6">
        <v>45666</v>
      </c>
      <c r="J130" s="2" t="s">
        <v>597</v>
      </c>
      <c r="K130" s="15">
        <f>PRODUCT(Table24[[#This Row],[Ticket Price]],Table24[[#This Row],[Passenger Count]])</f>
        <v>5760000</v>
      </c>
      <c r="L130" s="15">
        <f>Table24[[#This Row],[Revenue]]*(1-$Q$2)</f>
        <v>5184000</v>
      </c>
      <c r="M130" t="str">
        <f t="shared" ref="M130:M193" si="2">IF(F130&lt;=10,"On Time",IF(F130&lt;=30,"Slight Delay","Late"))</f>
        <v>Slight Delay</v>
      </c>
    </row>
    <row r="131" spans="1:13" x14ac:dyDescent="0.35">
      <c r="A131" t="s">
        <v>126</v>
      </c>
      <c r="B131" t="s">
        <v>372</v>
      </c>
      <c r="C131" t="s">
        <v>587</v>
      </c>
      <c r="D131" s="2" t="s">
        <v>591</v>
      </c>
      <c r="E131" s="1" t="s">
        <v>595</v>
      </c>
      <c r="F131" s="3">
        <v>74</v>
      </c>
      <c r="G131" s="4">
        <v>25000</v>
      </c>
      <c r="H131" s="5">
        <v>134</v>
      </c>
      <c r="I131" s="6">
        <v>45700</v>
      </c>
      <c r="J131" s="2" t="s">
        <v>597</v>
      </c>
      <c r="K131" s="15">
        <f>PRODUCT(Table24[[#This Row],[Ticket Price]],Table24[[#This Row],[Passenger Count]])</f>
        <v>3350000</v>
      </c>
      <c r="L131" s="15">
        <f>Table24[[#This Row],[Revenue]]*(1-$Q$2)</f>
        <v>3015000</v>
      </c>
      <c r="M131" t="str">
        <f t="shared" si="2"/>
        <v>Late</v>
      </c>
    </row>
    <row r="132" spans="1:13" x14ac:dyDescent="0.35">
      <c r="A132" t="s">
        <v>127</v>
      </c>
      <c r="B132" t="s">
        <v>347</v>
      </c>
      <c r="C132" t="s">
        <v>582</v>
      </c>
      <c r="D132" s="2" t="s">
        <v>589</v>
      </c>
      <c r="E132" s="1" t="s">
        <v>595</v>
      </c>
      <c r="F132" s="3">
        <v>151</v>
      </c>
      <c r="G132" s="4">
        <v>50000</v>
      </c>
      <c r="H132" s="5">
        <v>146</v>
      </c>
      <c r="I132" s="6">
        <v>45698</v>
      </c>
      <c r="J132" s="2" t="s">
        <v>597</v>
      </c>
      <c r="K132" s="15">
        <f>PRODUCT(Table24[[#This Row],[Ticket Price]],Table24[[#This Row],[Passenger Count]])</f>
        <v>7300000</v>
      </c>
      <c r="L132" s="15">
        <f>Table24[[#This Row],[Revenue]]*(1-$Q$2)</f>
        <v>6570000</v>
      </c>
      <c r="M132" t="str">
        <f t="shared" si="2"/>
        <v>Late</v>
      </c>
    </row>
    <row r="133" spans="1:13" x14ac:dyDescent="0.35">
      <c r="A133" t="s">
        <v>128</v>
      </c>
      <c r="B133" t="s">
        <v>450</v>
      </c>
      <c r="C133" t="s">
        <v>588</v>
      </c>
      <c r="D133" s="2" t="s">
        <v>583</v>
      </c>
      <c r="E133" s="1" t="s">
        <v>592</v>
      </c>
      <c r="F133" s="3">
        <v>81</v>
      </c>
      <c r="G133" s="4">
        <v>120000</v>
      </c>
      <c r="H133" s="5">
        <v>142</v>
      </c>
      <c r="I133" s="6">
        <v>45700</v>
      </c>
      <c r="J133" s="2" t="s">
        <v>598</v>
      </c>
      <c r="K133" s="15">
        <f>PRODUCT(Table24[[#This Row],[Ticket Price]],Table24[[#This Row],[Passenger Count]])</f>
        <v>17040000</v>
      </c>
      <c r="L133" s="15">
        <f>Table24[[#This Row],[Revenue]]*(1-$Q$2)</f>
        <v>15336000</v>
      </c>
      <c r="M133" t="str">
        <f t="shared" si="2"/>
        <v>Late</v>
      </c>
    </row>
    <row r="134" spans="1:13" x14ac:dyDescent="0.35">
      <c r="A134" t="s">
        <v>129</v>
      </c>
      <c r="B134" t="s">
        <v>451</v>
      </c>
      <c r="C134" t="s">
        <v>583</v>
      </c>
      <c r="D134" s="2" t="s">
        <v>591</v>
      </c>
      <c r="E134" s="1" t="s">
        <v>593</v>
      </c>
      <c r="F134" s="3">
        <v>141</v>
      </c>
      <c r="G134" s="4">
        <v>80000</v>
      </c>
      <c r="H134" s="5">
        <v>79</v>
      </c>
      <c r="I134" s="6">
        <v>45666</v>
      </c>
      <c r="J134" s="2" t="s">
        <v>598</v>
      </c>
      <c r="K134" s="15">
        <f>PRODUCT(Table24[[#This Row],[Ticket Price]],Table24[[#This Row],[Passenger Count]])</f>
        <v>6320000</v>
      </c>
      <c r="L134" s="15">
        <f>Table24[[#This Row],[Revenue]]*(1-$Q$2)</f>
        <v>5688000</v>
      </c>
      <c r="M134" t="str">
        <f t="shared" si="2"/>
        <v>Late</v>
      </c>
    </row>
    <row r="135" spans="1:13" x14ac:dyDescent="0.35">
      <c r="A135" t="s">
        <v>130</v>
      </c>
      <c r="B135" t="s">
        <v>452</v>
      </c>
      <c r="C135" t="s">
        <v>586</v>
      </c>
      <c r="D135" s="2" t="s">
        <v>583</v>
      </c>
      <c r="E135" s="1" t="s">
        <v>592</v>
      </c>
      <c r="F135" s="3">
        <v>18</v>
      </c>
      <c r="G135" s="4">
        <v>120000</v>
      </c>
      <c r="H135" s="5">
        <v>134</v>
      </c>
      <c r="I135" s="6">
        <v>45812</v>
      </c>
      <c r="J135" s="2" t="s">
        <v>598</v>
      </c>
      <c r="K135" s="15">
        <f>PRODUCT(Table24[[#This Row],[Ticket Price]],Table24[[#This Row],[Passenger Count]])</f>
        <v>16080000</v>
      </c>
      <c r="L135" s="15">
        <f>Table24[[#This Row],[Revenue]]*(1-$Q$2)</f>
        <v>14472000</v>
      </c>
      <c r="M135" t="str">
        <f t="shared" si="2"/>
        <v>Slight Delay</v>
      </c>
    </row>
    <row r="136" spans="1:13" x14ac:dyDescent="0.35">
      <c r="A136" t="s">
        <v>131</v>
      </c>
      <c r="B136" t="s">
        <v>436</v>
      </c>
      <c r="C136" t="s">
        <v>588</v>
      </c>
      <c r="D136" s="2" t="s">
        <v>590</v>
      </c>
      <c r="E136" s="1" t="s">
        <v>593</v>
      </c>
      <c r="F136" s="3">
        <v>150</v>
      </c>
      <c r="G136" s="4">
        <v>60000</v>
      </c>
      <c r="H136" s="5">
        <v>66</v>
      </c>
      <c r="I136" s="6">
        <v>45668</v>
      </c>
      <c r="J136" s="2" t="s">
        <v>597</v>
      </c>
      <c r="K136" s="15">
        <f>PRODUCT(Table24[[#This Row],[Ticket Price]],Table24[[#This Row],[Passenger Count]])</f>
        <v>3960000</v>
      </c>
      <c r="L136" s="15">
        <f>Table24[[#This Row],[Revenue]]*(1-$Q$2)</f>
        <v>3564000</v>
      </c>
      <c r="M136" t="str">
        <f t="shared" si="2"/>
        <v>Late</v>
      </c>
    </row>
    <row r="137" spans="1:13" x14ac:dyDescent="0.35">
      <c r="A137" t="s">
        <v>132</v>
      </c>
      <c r="B137" t="s">
        <v>453</v>
      </c>
      <c r="C137" t="s">
        <v>583</v>
      </c>
      <c r="D137" s="2" t="s">
        <v>587</v>
      </c>
      <c r="E137" s="1" t="s">
        <v>595</v>
      </c>
      <c r="F137" s="3">
        <v>-4</v>
      </c>
      <c r="G137" s="4">
        <v>120000</v>
      </c>
      <c r="H137" s="5">
        <v>152</v>
      </c>
      <c r="I137" s="6">
        <v>45753</v>
      </c>
      <c r="J137" s="2" t="s">
        <v>598</v>
      </c>
      <c r="K137" s="15">
        <f>PRODUCT(Table24[[#This Row],[Ticket Price]],Table24[[#This Row],[Passenger Count]])</f>
        <v>18240000</v>
      </c>
      <c r="L137" s="15">
        <f>Table24[[#This Row],[Revenue]]*(1-$Q$2)</f>
        <v>16416000</v>
      </c>
      <c r="M137" t="str">
        <f t="shared" si="2"/>
        <v>On Time</v>
      </c>
    </row>
    <row r="138" spans="1:13" x14ac:dyDescent="0.35">
      <c r="A138" t="s">
        <v>133</v>
      </c>
      <c r="B138" t="s">
        <v>454</v>
      </c>
      <c r="C138" t="s">
        <v>581</v>
      </c>
      <c r="D138" s="2" t="s">
        <v>589</v>
      </c>
      <c r="E138" s="1" t="s">
        <v>595</v>
      </c>
      <c r="F138" s="3">
        <v>98</v>
      </c>
      <c r="G138" s="4">
        <v>145000</v>
      </c>
      <c r="H138" s="5">
        <v>60</v>
      </c>
      <c r="I138" s="6">
        <v>45721</v>
      </c>
      <c r="J138" s="2" t="s">
        <v>597</v>
      </c>
      <c r="K138" s="15">
        <f>PRODUCT(Table24[[#This Row],[Ticket Price]],Table24[[#This Row],[Passenger Count]])</f>
        <v>8700000</v>
      </c>
      <c r="L138" s="15">
        <f>Table24[[#This Row],[Revenue]]*(1-$Q$2)</f>
        <v>7830000</v>
      </c>
      <c r="M138" t="str">
        <f t="shared" si="2"/>
        <v>Late</v>
      </c>
    </row>
    <row r="139" spans="1:13" x14ac:dyDescent="0.35">
      <c r="A139" t="s">
        <v>134</v>
      </c>
      <c r="B139" t="s">
        <v>455</v>
      </c>
      <c r="C139" t="s">
        <v>586</v>
      </c>
      <c r="D139" s="2" t="s">
        <v>582</v>
      </c>
      <c r="E139" s="1" t="s">
        <v>595</v>
      </c>
      <c r="F139" s="3">
        <v>7</v>
      </c>
      <c r="G139" s="4">
        <v>70000</v>
      </c>
      <c r="H139" s="5">
        <v>100</v>
      </c>
      <c r="I139" s="6">
        <v>45815</v>
      </c>
      <c r="J139" s="2" t="s">
        <v>598</v>
      </c>
      <c r="K139" s="15">
        <f>PRODUCT(Table24[[#This Row],[Ticket Price]],Table24[[#This Row],[Passenger Count]])</f>
        <v>7000000</v>
      </c>
      <c r="L139" s="15">
        <f>Table24[[#This Row],[Revenue]]*(1-$Q$2)</f>
        <v>6300000</v>
      </c>
      <c r="M139" t="str">
        <f t="shared" si="2"/>
        <v>On Time</v>
      </c>
    </row>
    <row r="140" spans="1:13" x14ac:dyDescent="0.35">
      <c r="A140" t="s">
        <v>135</v>
      </c>
      <c r="B140" t="s">
        <v>456</v>
      </c>
      <c r="C140" t="s">
        <v>586</v>
      </c>
      <c r="D140" s="2" t="s">
        <v>590</v>
      </c>
      <c r="E140" s="1" t="s">
        <v>596</v>
      </c>
      <c r="F140" s="3">
        <v>164</v>
      </c>
      <c r="G140" s="4">
        <v>75000</v>
      </c>
      <c r="H140" s="5">
        <v>130</v>
      </c>
      <c r="I140" s="6">
        <v>45705</v>
      </c>
      <c r="J140" s="2" t="s">
        <v>597</v>
      </c>
      <c r="K140" s="15">
        <f>PRODUCT(Table24[[#This Row],[Ticket Price]],Table24[[#This Row],[Passenger Count]])</f>
        <v>9750000</v>
      </c>
      <c r="L140" s="15">
        <f>Table24[[#This Row],[Revenue]]*(1-$Q$2)</f>
        <v>8775000</v>
      </c>
      <c r="M140" t="str">
        <f t="shared" si="2"/>
        <v>Late</v>
      </c>
    </row>
    <row r="141" spans="1:13" x14ac:dyDescent="0.35">
      <c r="A141" t="s">
        <v>136</v>
      </c>
      <c r="B141" t="s">
        <v>425</v>
      </c>
      <c r="C141" t="s">
        <v>583</v>
      </c>
      <c r="D141" s="2" t="s">
        <v>589</v>
      </c>
      <c r="E141" s="1" t="s">
        <v>595</v>
      </c>
      <c r="F141" s="3">
        <v>76</v>
      </c>
      <c r="G141" s="4">
        <v>35000</v>
      </c>
      <c r="H141" s="5">
        <v>108</v>
      </c>
      <c r="I141" s="6">
        <v>45760</v>
      </c>
      <c r="J141" s="2" t="s">
        <v>598</v>
      </c>
      <c r="K141" s="15">
        <f>PRODUCT(Table24[[#This Row],[Ticket Price]],Table24[[#This Row],[Passenger Count]])</f>
        <v>3780000</v>
      </c>
      <c r="L141" s="15">
        <f>Table24[[#This Row],[Revenue]]*(1-$Q$2)</f>
        <v>3402000</v>
      </c>
      <c r="M141" t="str">
        <f t="shared" si="2"/>
        <v>Late</v>
      </c>
    </row>
    <row r="142" spans="1:13" x14ac:dyDescent="0.35">
      <c r="A142" t="s">
        <v>137</v>
      </c>
      <c r="B142" t="s">
        <v>457</v>
      </c>
      <c r="C142" t="s">
        <v>582</v>
      </c>
      <c r="D142" s="2" t="s">
        <v>587</v>
      </c>
      <c r="E142" s="1" t="s">
        <v>592</v>
      </c>
      <c r="F142" s="3">
        <v>32</v>
      </c>
      <c r="G142" s="4">
        <v>75000</v>
      </c>
      <c r="H142" s="5">
        <v>70</v>
      </c>
      <c r="I142" s="6">
        <v>45835</v>
      </c>
      <c r="J142" s="2" t="s">
        <v>597</v>
      </c>
      <c r="K142" s="15">
        <f>PRODUCT(Table24[[#This Row],[Ticket Price]],Table24[[#This Row],[Passenger Count]])</f>
        <v>5250000</v>
      </c>
      <c r="L142" s="15">
        <f>Table24[[#This Row],[Revenue]]*(1-$Q$2)</f>
        <v>4725000</v>
      </c>
      <c r="M142" t="str">
        <f t="shared" si="2"/>
        <v>Late</v>
      </c>
    </row>
    <row r="143" spans="1:13" x14ac:dyDescent="0.35">
      <c r="A143" t="s">
        <v>138</v>
      </c>
      <c r="B143" t="s">
        <v>458</v>
      </c>
      <c r="C143" t="s">
        <v>582</v>
      </c>
      <c r="D143" s="2" t="s">
        <v>584</v>
      </c>
      <c r="E143" s="1" t="s">
        <v>593</v>
      </c>
      <c r="F143" s="3">
        <v>-1</v>
      </c>
      <c r="G143" s="4">
        <v>150000</v>
      </c>
      <c r="H143" s="5">
        <v>162</v>
      </c>
      <c r="I143" s="6">
        <v>45666</v>
      </c>
      <c r="J143" s="2" t="s">
        <v>598</v>
      </c>
      <c r="K143" s="15">
        <f>PRODUCT(Table24[[#This Row],[Ticket Price]],Table24[[#This Row],[Passenger Count]])</f>
        <v>24300000</v>
      </c>
      <c r="L143" s="15">
        <f>Table24[[#This Row],[Revenue]]*(1-$Q$2)</f>
        <v>21870000</v>
      </c>
      <c r="M143" t="str">
        <f t="shared" si="2"/>
        <v>On Time</v>
      </c>
    </row>
    <row r="144" spans="1:13" x14ac:dyDescent="0.35">
      <c r="A144" t="s">
        <v>139</v>
      </c>
      <c r="B144" t="s">
        <v>451</v>
      </c>
      <c r="C144" t="s">
        <v>587</v>
      </c>
      <c r="D144" s="2" t="s">
        <v>591</v>
      </c>
      <c r="E144" s="1" t="s">
        <v>593</v>
      </c>
      <c r="F144" s="3">
        <v>49</v>
      </c>
      <c r="G144" s="4">
        <v>140000</v>
      </c>
      <c r="H144" s="5">
        <v>121</v>
      </c>
      <c r="I144" s="6">
        <v>45669</v>
      </c>
      <c r="J144" s="2" t="s">
        <v>597</v>
      </c>
      <c r="K144" s="15">
        <f>PRODUCT(Table24[[#This Row],[Ticket Price]],Table24[[#This Row],[Passenger Count]])</f>
        <v>16940000</v>
      </c>
      <c r="L144" s="15">
        <f>Table24[[#This Row],[Revenue]]*(1-$Q$2)</f>
        <v>15246000</v>
      </c>
      <c r="M144" t="str">
        <f t="shared" si="2"/>
        <v>Late</v>
      </c>
    </row>
    <row r="145" spans="1:13" x14ac:dyDescent="0.35">
      <c r="A145" t="s">
        <v>140</v>
      </c>
      <c r="B145" t="s">
        <v>413</v>
      </c>
      <c r="C145" t="s">
        <v>582</v>
      </c>
      <c r="D145" s="2" t="s">
        <v>589</v>
      </c>
      <c r="E145" s="1" t="s">
        <v>593</v>
      </c>
      <c r="F145" s="3">
        <v>166</v>
      </c>
      <c r="G145" s="4">
        <v>50000</v>
      </c>
      <c r="H145" s="5">
        <v>121</v>
      </c>
      <c r="I145" s="6">
        <v>45678</v>
      </c>
      <c r="J145" s="2" t="s">
        <v>597</v>
      </c>
      <c r="K145" s="15">
        <f>PRODUCT(Table24[[#This Row],[Ticket Price]],Table24[[#This Row],[Passenger Count]])</f>
        <v>6050000</v>
      </c>
      <c r="L145" s="15">
        <f>Table24[[#This Row],[Revenue]]*(1-$Q$2)</f>
        <v>5445000</v>
      </c>
      <c r="M145" t="str">
        <f t="shared" si="2"/>
        <v>Late</v>
      </c>
    </row>
    <row r="146" spans="1:13" x14ac:dyDescent="0.35">
      <c r="A146" t="s">
        <v>141</v>
      </c>
      <c r="B146" t="s">
        <v>405</v>
      </c>
      <c r="C146" t="s">
        <v>587</v>
      </c>
      <c r="D146" s="2" t="s">
        <v>585</v>
      </c>
      <c r="E146" s="1" t="s">
        <v>594</v>
      </c>
      <c r="F146" s="3">
        <v>22</v>
      </c>
      <c r="G146" s="4">
        <v>145000</v>
      </c>
      <c r="H146" s="5">
        <v>127</v>
      </c>
      <c r="I146" s="6">
        <v>45736</v>
      </c>
      <c r="J146" s="2" t="s">
        <v>598</v>
      </c>
      <c r="K146" s="15">
        <f>PRODUCT(Table24[[#This Row],[Ticket Price]],Table24[[#This Row],[Passenger Count]])</f>
        <v>18415000</v>
      </c>
      <c r="L146" s="15">
        <f>Table24[[#This Row],[Revenue]]*(1-$Q$2)</f>
        <v>16573500</v>
      </c>
      <c r="M146" t="str">
        <f t="shared" si="2"/>
        <v>Slight Delay</v>
      </c>
    </row>
    <row r="147" spans="1:13" x14ac:dyDescent="0.35">
      <c r="A147" t="s">
        <v>142</v>
      </c>
      <c r="B147" t="s">
        <v>459</v>
      </c>
      <c r="C147" t="s">
        <v>586</v>
      </c>
      <c r="D147" s="2" t="s">
        <v>590</v>
      </c>
      <c r="E147" s="1" t="s">
        <v>593</v>
      </c>
      <c r="F147" s="3">
        <v>130</v>
      </c>
      <c r="G147" s="4">
        <v>55000</v>
      </c>
      <c r="H147" s="5">
        <v>104</v>
      </c>
      <c r="I147" s="6">
        <v>45759</v>
      </c>
      <c r="J147" s="2" t="s">
        <v>598</v>
      </c>
      <c r="K147" s="15">
        <f>PRODUCT(Table24[[#This Row],[Ticket Price]],Table24[[#This Row],[Passenger Count]])</f>
        <v>5720000</v>
      </c>
      <c r="L147" s="15">
        <f>Table24[[#This Row],[Revenue]]*(1-$Q$2)</f>
        <v>5148000</v>
      </c>
      <c r="M147" t="str">
        <f t="shared" si="2"/>
        <v>Late</v>
      </c>
    </row>
    <row r="148" spans="1:13" x14ac:dyDescent="0.35">
      <c r="A148" t="s">
        <v>143</v>
      </c>
      <c r="B148" t="s">
        <v>460</v>
      </c>
      <c r="C148" t="s">
        <v>587</v>
      </c>
      <c r="D148" s="2" t="s">
        <v>584</v>
      </c>
      <c r="E148" s="1" t="s">
        <v>596</v>
      </c>
      <c r="F148" s="3">
        <v>49</v>
      </c>
      <c r="G148" s="4">
        <v>150000</v>
      </c>
      <c r="H148" s="5">
        <v>144</v>
      </c>
      <c r="I148" s="6">
        <v>45837</v>
      </c>
      <c r="J148" s="2" t="s">
        <v>598</v>
      </c>
      <c r="K148" s="15">
        <f>PRODUCT(Table24[[#This Row],[Ticket Price]],Table24[[#This Row],[Passenger Count]])</f>
        <v>21600000</v>
      </c>
      <c r="L148" s="15">
        <f>Table24[[#This Row],[Revenue]]*(1-$Q$2)</f>
        <v>19440000</v>
      </c>
      <c r="M148" t="str">
        <f t="shared" si="2"/>
        <v>Late</v>
      </c>
    </row>
    <row r="149" spans="1:13" x14ac:dyDescent="0.35">
      <c r="A149" t="s">
        <v>144</v>
      </c>
      <c r="B149" t="s">
        <v>436</v>
      </c>
      <c r="C149" t="s">
        <v>584</v>
      </c>
      <c r="D149" s="2" t="s">
        <v>587</v>
      </c>
      <c r="E149" s="1" t="s">
        <v>596</v>
      </c>
      <c r="F149" s="3">
        <v>168</v>
      </c>
      <c r="G149" s="4">
        <v>120000</v>
      </c>
      <c r="H149" s="5">
        <v>75</v>
      </c>
      <c r="I149" s="6">
        <v>45792</v>
      </c>
      <c r="J149" s="2" t="s">
        <v>597</v>
      </c>
      <c r="K149" s="15">
        <f>PRODUCT(Table24[[#This Row],[Ticket Price]],Table24[[#This Row],[Passenger Count]])</f>
        <v>9000000</v>
      </c>
      <c r="L149" s="15">
        <f>Table24[[#This Row],[Revenue]]*(1-$Q$2)</f>
        <v>8100000</v>
      </c>
      <c r="M149" t="str">
        <f t="shared" si="2"/>
        <v>Late</v>
      </c>
    </row>
    <row r="150" spans="1:13" x14ac:dyDescent="0.35">
      <c r="A150" t="s">
        <v>145</v>
      </c>
      <c r="B150" t="s">
        <v>461</v>
      </c>
      <c r="C150" t="s">
        <v>584</v>
      </c>
      <c r="D150" s="2" t="s">
        <v>590</v>
      </c>
      <c r="E150" s="1" t="s">
        <v>593</v>
      </c>
      <c r="F150" s="3">
        <v>142</v>
      </c>
      <c r="G150" s="4">
        <v>70000</v>
      </c>
      <c r="H150" s="5">
        <v>127</v>
      </c>
      <c r="I150" s="6">
        <v>45668</v>
      </c>
      <c r="J150" s="2" t="s">
        <v>598</v>
      </c>
      <c r="K150" s="15">
        <f>PRODUCT(Table24[[#This Row],[Ticket Price]],Table24[[#This Row],[Passenger Count]])</f>
        <v>8890000</v>
      </c>
      <c r="L150" s="15">
        <f>Table24[[#This Row],[Revenue]]*(1-$Q$2)</f>
        <v>8001000</v>
      </c>
      <c r="M150" t="str">
        <f t="shared" si="2"/>
        <v>Late</v>
      </c>
    </row>
    <row r="151" spans="1:13" x14ac:dyDescent="0.35">
      <c r="A151" t="s">
        <v>146</v>
      </c>
      <c r="B151" t="s">
        <v>462</v>
      </c>
      <c r="C151" t="s">
        <v>583</v>
      </c>
      <c r="D151" s="2" t="s">
        <v>582</v>
      </c>
      <c r="E151" s="1" t="s">
        <v>592</v>
      </c>
      <c r="F151" s="3">
        <v>171</v>
      </c>
      <c r="G151" s="4">
        <v>95000</v>
      </c>
      <c r="H151" s="5">
        <v>173</v>
      </c>
      <c r="I151" s="6">
        <v>45758</v>
      </c>
      <c r="J151" s="2" t="s">
        <v>598</v>
      </c>
      <c r="K151" s="15">
        <f>PRODUCT(Table24[[#This Row],[Ticket Price]],Table24[[#This Row],[Passenger Count]])</f>
        <v>16435000</v>
      </c>
      <c r="L151" s="15">
        <f>Table24[[#This Row],[Revenue]]*(1-$Q$2)</f>
        <v>14791500</v>
      </c>
      <c r="M151" t="str">
        <f t="shared" si="2"/>
        <v>Late</v>
      </c>
    </row>
    <row r="152" spans="1:13" x14ac:dyDescent="0.35">
      <c r="A152" t="s">
        <v>147</v>
      </c>
      <c r="B152" t="s">
        <v>463</v>
      </c>
      <c r="C152" t="s">
        <v>586</v>
      </c>
      <c r="D152" s="2" t="s">
        <v>585</v>
      </c>
      <c r="E152" s="1" t="s">
        <v>593</v>
      </c>
      <c r="F152" s="3">
        <v>36</v>
      </c>
      <c r="G152" s="4">
        <v>100000</v>
      </c>
      <c r="H152" s="5">
        <v>107</v>
      </c>
      <c r="I152" s="6">
        <v>45838</v>
      </c>
      <c r="J152" s="2" t="s">
        <v>597</v>
      </c>
      <c r="K152" s="15">
        <f>PRODUCT(Table24[[#This Row],[Ticket Price]],Table24[[#This Row],[Passenger Count]])</f>
        <v>10700000</v>
      </c>
      <c r="L152" s="15">
        <f>Table24[[#This Row],[Revenue]]*(1-$Q$2)</f>
        <v>9630000</v>
      </c>
      <c r="M152" t="str">
        <f t="shared" si="2"/>
        <v>Late</v>
      </c>
    </row>
    <row r="153" spans="1:13" x14ac:dyDescent="0.35">
      <c r="A153" t="s">
        <v>148</v>
      </c>
      <c r="B153" t="s">
        <v>393</v>
      </c>
      <c r="C153" t="s">
        <v>587</v>
      </c>
      <c r="D153" s="2" t="s">
        <v>583</v>
      </c>
      <c r="E153" s="1" t="s">
        <v>592</v>
      </c>
      <c r="F153" s="3">
        <v>67</v>
      </c>
      <c r="G153" s="4">
        <v>70000</v>
      </c>
      <c r="H153" s="5">
        <v>154</v>
      </c>
      <c r="I153" s="6">
        <v>45818</v>
      </c>
      <c r="J153" s="2" t="s">
        <v>598</v>
      </c>
      <c r="K153" s="15">
        <f>PRODUCT(Table24[[#This Row],[Ticket Price]],Table24[[#This Row],[Passenger Count]])</f>
        <v>10780000</v>
      </c>
      <c r="L153" s="15">
        <f>Table24[[#This Row],[Revenue]]*(1-$Q$2)</f>
        <v>9702000</v>
      </c>
      <c r="M153" t="str">
        <f t="shared" si="2"/>
        <v>Late</v>
      </c>
    </row>
    <row r="154" spans="1:13" x14ac:dyDescent="0.35">
      <c r="A154" t="s">
        <v>149</v>
      </c>
      <c r="B154" t="s">
        <v>464</v>
      </c>
      <c r="C154" t="s">
        <v>586</v>
      </c>
      <c r="D154" s="2" t="s">
        <v>587</v>
      </c>
      <c r="E154" s="1" t="s">
        <v>595</v>
      </c>
      <c r="F154" s="3">
        <v>20</v>
      </c>
      <c r="G154" s="4">
        <v>100000</v>
      </c>
      <c r="H154" s="5">
        <v>104</v>
      </c>
      <c r="I154" s="6">
        <v>45680</v>
      </c>
      <c r="J154" s="2" t="s">
        <v>598</v>
      </c>
      <c r="K154" s="15">
        <f>PRODUCT(Table24[[#This Row],[Ticket Price]],Table24[[#This Row],[Passenger Count]])</f>
        <v>10400000</v>
      </c>
      <c r="L154" s="15">
        <f>Table24[[#This Row],[Revenue]]*(1-$Q$2)</f>
        <v>9360000</v>
      </c>
      <c r="M154" t="str">
        <f t="shared" si="2"/>
        <v>Slight Delay</v>
      </c>
    </row>
    <row r="155" spans="1:13" x14ac:dyDescent="0.35">
      <c r="A155" t="s">
        <v>150</v>
      </c>
      <c r="B155" t="s">
        <v>465</v>
      </c>
      <c r="C155" t="s">
        <v>586</v>
      </c>
      <c r="D155" s="2" t="s">
        <v>590</v>
      </c>
      <c r="E155" s="1" t="s">
        <v>596</v>
      </c>
      <c r="F155" s="3">
        <v>14</v>
      </c>
      <c r="G155" s="4">
        <v>55000</v>
      </c>
      <c r="H155" s="5">
        <v>90</v>
      </c>
      <c r="I155" s="6">
        <v>45699</v>
      </c>
      <c r="J155" s="2" t="s">
        <v>597</v>
      </c>
      <c r="K155" s="15">
        <f>PRODUCT(Table24[[#This Row],[Ticket Price]],Table24[[#This Row],[Passenger Count]])</f>
        <v>4950000</v>
      </c>
      <c r="L155" s="15">
        <f>Table24[[#This Row],[Revenue]]*(1-$Q$2)</f>
        <v>4455000</v>
      </c>
      <c r="M155" t="str">
        <f t="shared" si="2"/>
        <v>Slight Delay</v>
      </c>
    </row>
    <row r="156" spans="1:13" x14ac:dyDescent="0.35">
      <c r="A156" t="s">
        <v>151</v>
      </c>
      <c r="B156" t="s">
        <v>466</v>
      </c>
      <c r="C156" t="s">
        <v>588</v>
      </c>
      <c r="D156" s="2" t="s">
        <v>587</v>
      </c>
      <c r="E156" s="1" t="s">
        <v>595</v>
      </c>
      <c r="F156" s="3">
        <v>36</v>
      </c>
      <c r="G156" s="4">
        <v>115000</v>
      </c>
      <c r="H156" s="5">
        <v>89</v>
      </c>
      <c r="I156" s="6">
        <v>45769</v>
      </c>
      <c r="J156" s="2" t="s">
        <v>598</v>
      </c>
      <c r="K156" s="15">
        <f>PRODUCT(Table24[[#This Row],[Ticket Price]],Table24[[#This Row],[Passenger Count]])</f>
        <v>10235000</v>
      </c>
      <c r="L156" s="15">
        <f>Table24[[#This Row],[Revenue]]*(1-$Q$2)</f>
        <v>9211500</v>
      </c>
      <c r="M156" t="str">
        <f t="shared" si="2"/>
        <v>Late</v>
      </c>
    </row>
    <row r="157" spans="1:13" x14ac:dyDescent="0.35">
      <c r="A157" t="s">
        <v>152</v>
      </c>
      <c r="B157" t="s">
        <v>467</v>
      </c>
      <c r="C157" t="s">
        <v>584</v>
      </c>
      <c r="D157" s="2" t="s">
        <v>590</v>
      </c>
      <c r="E157" s="1" t="s">
        <v>595</v>
      </c>
      <c r="F157" s="3">
        <v>90</v>
      </c>
      <c r="G157" s="4">
        <v>110000</v>
      </c>
      <c r="H157" s="5">
        <v>169</v>
      </c>
      <c r="I157" s="6">
        <v>45701</v>
      </c>
      <c r="J157" s="2" t="s">
        <v>597</v>
      </c>
      <c r="K157" s="15">
        <f>PRODUCT(Table24[[#This Row],[Ticket Price]],Table24[[#This Row],[Passenger Count]])</f>
        <v>18590000</v>
      </c>
      <c r="L157" s="15">
        <f>Table24[[#This Row],[Revenue]]*(1-$Q$2)</f>
        <v>16731000</v>
      </c>
      <c r="M157" t="str">
        <f t="shared" si="2"/>
        <v>Late</v>
      </c>
    </row>
    <row r="158" spans="1:13" x14ac:dyDescent="0.35">
      <c r="A158" t="s">
        <v>153</v>
      </c>
      <c r="B158" t="s">
        <v>433</v>
      </c>
      <c r="C158" t="s">
        <v>585</v>
      </c>
      <c r="D158" s="2" t="s">
        <v>584</v>
      </c>
      <c r="E158" s="1" t="s">
        <v>596</v>
      </c>
      <c r="F158" s="3">
        <v>83</v>
      </c>
      <c r="G158" s="4">
        <v>85000</v>
      </c>
      <c r="H158" s="5">
        <v>62</v>
      </c>
      <c r="I158" s="6">
        <v>45762</v>
      </c>
      <c r="J158" s="2" t="s">
        <v>597</v>
      </c>
      <c r="K158" s="15">
        <f>PRODUCT(Table24[[#This Row],[Ticket Price]],Table24[[#This Row],[Passenger Count]])</f>
        <v>5270000</v>
      </c>
      <c r="L158" s="15">
        <f>Table24[[#This Row],[Revenue]]*(1-$Q$2)</f>
        <v>4743000</v>
      </c>
      <c r="M158" t="str">
        <f t="shared" si="2"/>
        <v>Late</v>
      </c>
    </row>
    <row r="159" spans="1:13" x14ac:dyDescent="0.35">
      <c r="A159" t="s">
        <v>154</v>
      </c>
      <c r="B159" t="s">
        <v>468</v>
      </c>
      <c r="C159" t="s">
        <v>585</v>
      </c>
      <c r="D159" s="2" t="s">
        <v>583</v>
      </c>
      <c r="E159" s="1" t="s">
        <v>594</v>
      </c>
      <c r="F159" s="3">
        <v>27</v>
      </c>
      <c r="G159" s="4">
        <v>145000</v>
      </c>
      <c r="H159" s="5">
        <v>112</v>
      </c>
      <c r="I159" s="6">
        <v>45786</v>
      </c>
      <c r="J159" s="2" t="s">
        <v>598</v>
      </c>
      <c r="K159" s="15">
        <f>PRODUCT(Table24[[#This Row],[Ticket Price]],Table24[[#This Row],[Passenger Count]])</f>
        <v>16240000</v>
      </c>
      <c r="L159" s="15">
        <f>Table24[[#This Row],[Revenue]]*(1-$Q$2)</f>
        <v>14616000</v>
      </c>
      <c r="M159" t="str">
        <f t="shared" si="2"/>
        <v>Slight Delay</v>
      </c>
    </row>
    <row r="160" spans="1:13" x14ac:dyDescent="0.35">
      <c r="A160" t="s">
        <v>155</v>
      </c>
      <c r="B160" t="s">
        <v>469</v>
      </c>
      <c r="C160" t="s">
        <v>583</v>
      </c>
      <c r="D160" s="2" t="s">
        <v>585</v>
      </c>
      <c r="E160" s="1" t="s">
        <v>594</v>
      </c>
      <c r="F160" s="3">
        <v>0</v>
      </c>
      <c r="G160" s="4">
        <v>145000</v>
      </c>
      <c r="H160" s="5">
        <v>130</v>
      </c>
      <c r="I160" s="6">
        <v>45771</v>
      </c>
      <c r="J160" s="2" t="s">
        <v>597</v>
      </c>
      <c r="K160" s="15">
        <f>PRODUCT(Table24[[#This Row],[Ticket Price]],Table24[[#This Row],[Passenger Count]])</f>
        <v>18850000</v>
      </c>
      <c r="L160" s="15">
        <f>Table24[[#This Row],[Revenue]]*(1-$Q$2)</f>
        <v>16965000</v>
      </c>
      <c r="M160" t="str">
        <f t="shared" si="2"/>
        <v>On Time</v>
      </c>
    </row>
    <row r="161" spans="1:13" x14ac:dyDescent="0.35">
      <c r="A161" t="s">
        <v>156</v>
      </c>
      <c r="B161" t="s">
        <v>470</v>
      </c>
      <c r="C161" t="s">
        <v>581</v>
      </c>
      <c r="D161" s="2" t="s">
        <v>583</v>
      </c>
      <c r="E161" s="1" t="s">
        <v>596</v>
      </c>
      <c r="F161" s="3">
        <v>17</v>
      </c>
      <c r="G161" s="4">
        <v>145000</v>
      </c>
      <c r="H161" s="5">
        <v>60</v>
      </c>
      <c r="I161" s="6">
        <v>45713</v>
      </c>
      <c r="J161" s="2" t="s">
        <v>598</v>
      </c>
      <c r="K161" s="15">
        <f>PRODUCT(Table24[[#This Row],[Ticket Price]],Table24[[#This Row],[Passenger Count]])</f>
        <v>8700000</v>
      </c>
      <c r="L161" s="15">
        <f>Table24[[#This Row],[Revenue]]*(1-$Q$2)</f>
        <v>7830000</v>
      </c>
      <c r="M161" t="str">
        <f t="shared" si="2"/>
        <v>Slight Delay</v>
      </c>
    </row>
    <row r="162" spans="1:13" x14ac:dyDescent="0.35">
      <c r="A162" t="s">
        <v>157</v>
      </c>
      <c r="B162" t="s">
        <v>379</v>
      </c>
      <c r="C162" t="s">
        <v>587</v>
      </c>
      <c r="D162" s="2" t="s">
        <v>591</v>
      </c>
      <c r="E162" s="1" t="s">
        <v>594</v>
      </c>
      <c r="F162" s="3">
        <v>56</v>
      </c>
      <c r="G162" s="4">
        <v>120000</v>
      </c>
      <c r="H162" s="5">
        <v>113</v>
      </c>
      <c r="I162" s="6">
        <v>45734</v>
      </c>
      <c r="J162" s="2" t="s">
        <v>597</v>
      </c>
      <c r="K162" s="15">
        <f>PRODUCT(Table24[[#This Row],[Ticket Price]],Table24[[#This Row],[Passenger Count]])</f>
        <v>13560000</v>
      </c>
      <c r="L162" s="15">
        <f>Table24[[#This Row],[Revenue]]*(1-$Q$2)</f>
        <v>12204000</v>
      </c>
      <c r="M162" t="str">
        <f t="shared" si="2"/>
        <v>Late</v>
      </c>
    </row>
    <row r="163" spans="1:13" x14ac:dyDescent="0.35">
      <c r="A163" t="s">
        <v>158</v>
      </c>
      <c r="B163" t="s">
        <v>471</v>
      </c>
      <c r="C163" t="s">
        <v>584</v>
      </c>
      <c r="D163" s="2" t="s">
        <v>582</v>
      </c>
      <c r="E163" s="1" t="s">
        <v>595</v>
      </c>
      <c r="F163" s="3">
        <v>51</v>
      </c>
      <c r="G163" s="4">
        <v>35000</v>
      </c>
      <c r="H163" s="5">
        <v>166</v>
      </c>
      <c r="I163" s="6">
        <v>45783</v>
      </c>
      <c r="J163" s="2" t="s">
        <v>598</v>
      </c>
      <c r="K163" s="15">
        <f>PRODUCT(Table24[[#This Row],[Ticket Price]],Table24[[#This Row],[Passenger Count]])</f>
        <v>5810000</v>
      </c>
      <c r="L163" s="15">
        <f>Table24[[#This Row],[Revenue]]*(1-$Q$2)</f>
        <v>5229000</v>
      </c>
      <c r="M163" t="str">
        <f t="shared" si="2"/>
        <v>Late</v>
      </c>
    </row>
    <row r="164" spans="1:13" x14ac:dyDescent="0.35">
      <c r="A164" t="s">
        <v>159</v>
      </c>
      <c r="B164" t="s">
        <v>412</v>
      </c>
      <c r="C164" t="s">
        <v>588</v>
      </c>
      <c r="D164" s="2" t="s">
        <v>584</v>
      </c>
      <c r="E164" s="1" t="s">
        <v>596</v>
      </c>
      <c r="F164" s="3">
        <v>148</v>
      </c>
      <c r="G164" s="4">
        <v>135000</v>
      </c>
      <c r="H164" s="5">
        <v>68</v>
      </c>
      <c r="I164" s="6">
        <v>45794</v>
      </c>
      <c r="J164" s="2" t="s">
        <v>597</v>
      </c>
      <c r="K164" s="15">
        <f>PRODUCT(Table24[[#This Row],[Ticket Price]],Table24[[#This Row],[Passenger Count]])</f>
        <v>9180000</v>
      </c>
      <c r="L164" s="15">
        <f>Table24[[#This Row],[Revenue]]*(1-$Q$2)</f>
        <v>8262000</v>
      </c>
      <c r="M164" t="str">
        <f t="shared" si="2"/>
        <v>Late</v>
      </c>
    </row>
    <row r="165" spans="1:13" x14ac:dyDescent="0.35">
      <c r="A165" t="s">
        <v>160</v>
      </c>
      <c r="B165" t="s">
        <v>472</v>
      </c>
      <c r="C165" t="s">
        <v>587</v>
      </c>
      <c r="D165" s="2" t="s">
        <v>591</v>
      </c>
      <c r="E165" s="1" t="s">
        <v>592</v>
      </c>
      <c r="F165" s="3">
        <v>18</v>
      </c>
      <c r="G165" s="4">
        <v>85000</v>
      </c>
      <c r="H165" s="5">
        <v>144</v>
      </c>
      <c r="I165" s="6">
        <v>45810</v>
      </c>
      <c r="J165" s="2" t="s">
        <v>597</v>
      </c>
      <c r="K165" s="15">
        <f>PRODUCT(Table24[[#This Row],[Ticket Price]],Table24[[#This Row],[Passenger Count]])</f>
        <v>12240000</v>
      </c>
      <c r="L165" s="15">
        <f>Table24[[#This Row],[Revenue]]*(1-$Q$2)</f>
        <v>11016000</v>
      </c>
      <c r="M165" t="str">
        <f t="shared" si="2"/>
        <v>Slight Delay</v>
      </c>
    </row>
    <row r="166" spans="1:13" x14ac:dyDescent="0.35">
      <c r="A166" t="s">
        <v>161</v>
      </c>
      <c r="B166" t="s">
        <v>425</v>
      </c>
      <c r="C166" t="s">
        <v>581</v>
      </c>
      <c r="D166" s="2" t="s">
        <v>589</v>
      </c>
      <c r="E166" s="1" t="s">
        <v>596</v>
      </c>
      <c r="F166" s="3">
        <v>135</v>
      </c>
      <c r="G166" s="4">
        <v>35000</v>
      </c>
      <c r="H166" s="5">
        <v>75</v>
      </c>
      <c r="I166" s="6">
        <v>45809</v>
      </c>
      <c r="J166" s="2" t="s">
        <v>597</v>
      </c>
      <c r="K166" s="15">
        <f>PRODUCT(Table24[[#This Row],[Ticket Price]],Table24[[#This Row],[Passenger Count]])</f>
        <v>2625000</v>
      </c>
      <c r="L166" s="15">
        <f>Table24[[#This Row],[Revenue]]*(1-$Q$2)</f>
        <v>2362500</v>
      </c>
      <c r="M166" t="str">
        <f t="shared" si="2"/>
        <v>Late</v>
      </c>
    </row>
    <row r="167" spans="1:13" x14ac:dyDescent="0.35">
      <c r="A167" t="s">
        <v>162</v>
      </c>
      <c r="B167" t="s">
        <v>473</v>
      </c>
      <c r="C167" t="s">
        <v>583</v>
      </c>
      <c r="D167" s="2" t="s">
        <v>590</v>
      </c>
      <c r="E167" s="1" t="s">
        <v>595</v>
      </c>
      <c r="F167" s="3">
        <v>137</v>
      </c>
      <c r="G167" s="4">
        <v>35000</v>
      </c>
      <c r="H167" s="5">
        <v>77</v>
      </c>
      <c r="I167" s="6">
        <v>45757</v>
      </c>
      <c r="J167" s="2" t="s">
        <v>598</v>
      </c>
      <c r="K167" s="15">
        <f>PRODUCT(Table24[[#This Row],[Ticket Price]],Table24[[#This Row],[Passenger Count]])</f>
        <v>2695000</v>
      </c>
      <c r="L167" s="15">
        <f>Table24[[#This Row],[Revenue]]*(1-$Q$2)</f>
        <v>2425500</v>
      </c>
      <c r="M167" t="str">
        <f t="shared" si="2"/>
        <v>Late</v>
      </c>
    </row>
    <row r="168" spans="1:13" x14ac:dyDescent="0.35">
      <c r="A168" t="s">
        <v>163</v>
      </c>
      <c r="B168" t="s">
        <v>474</v>
      </c>
      <c r="C168" t="s">
        <v>583</v>
      </c>
      <c r="D168" s="2" t="s">
        <v>587</v>
      </c>
      <c r="E168" s="1" t="s">
        <v>593</v>
      </c>
      <c r="F168" s="3">
        <v>92</v>
      </c>
      <c r="G168" s="4">
        <v>100000</v>
      </c>
      <c r="H168" s="5">
        <v>66</v>
      </c>
      <c r="I168" s="6">
        <v>45706</v>
      </c>
      <c r="J168" s="2" t="s">
        <v>597</v>
      </c>
      <c r="K168" s="15">
        <f>PRODUCT(Table24[[#This Row],[Ticket Price]],Table24[[#This Row],[Passenger Count]])</f>
        <v>6600000</v>
      </c>
      <c r="L168" s="15">
        <f>Table24[[#This Row],[Revenue]]*(1-$Q$2)</f>
        <v>5940000</v>
      </c>
      <c r="M168" t="str">
        <f t="shared" si="2"/>
        <v>Late</v>
      </c>
    </row>
    <row r="169" spans="1:13" x14ac:dyDescent="0.35">
      <c r="A169" t="s">
        <v>164</v>
      </c>
      <c r="B169" t="s">
        <v>475</v>
      </c>
      <c r="C169" t="s">
        <v>583</v>
      </c>
      <c r="D169" s="2" t="s">
        <v>589</v>
      </c>
      <c r="E169" s="1" t="s">
        <v>592</v>
      </c>
      <c r="F169" s="3">
        <v>21</v>
      </c>
      <c r="G169" s="4">
        <v>140000</v>
      </c>
      <c r="H169" s="5">
        <v>118</v>
      </c>
      <c r="I169" s="6">
        <v>45675</v>
      </c>
      <c r="J169" s="2" t="s">
        <v>598</v>
      </c>
      <c r="K169" s="15">
        <f>PRODUCT(Table24[[#This Row],[Ticket Price]],Table24[[#This Row],[Passenger Count]])</f>
        <v>16520000</v>
      </c>
      <c r="L169" s="15">
        <f>Table24[[#This Row],[Revenue]]*(1-$Q$2)</f>
        <v>14868000</v>
      </c>
      <c r="M169" t="str">
        <f t="shared" si="2"/>
        <v>Slight Delay</v>
      </c>
    </row>
    <row r="170" spans="1:13" x14ac:dyDescent="0.35">
      <c r="A170" t="s">
        <v>165</v>
      </c>
      <c r="B170" t="s">
        <v>476</v>
      </c>
      <c r="C170" t="s">
        <v>588</v>
      </c>
      <c r="D170" s="2" t="s">
        <v>585</v>
      </c>
      <c r="E170" s="1" t="s">
        <v>596</v>
      </c>
      <c r="F170" s="3">
        <v>24</v>
      </c>
      <c r="G170" s="4">
        <v>80000</v>
      </c>
      <c r="H170" s="5">
        <v>149</v>
      </c>
      <c r="I170" s="6">
        <v>45756</v>
      </c>
      <c r="J170" s="2" t="s">
        <v>597</v>
      </c>
      <c r="K170" s="15">
        <f>PRODUCT(Table24[[#This Row],[Ticket Price]],Table24[[#This Row],[Passenger Count]])</f>
        <v>11920000</v>
      </c>
      <c r="L170" s="15">
        <f>Table24[[#This Row],[Revenue]]*(1-$Q$2)</f>
        <v>10728000</v>
      </c>
      <c r="M170" t="str">
        <f t="shared" si="2"/>
        <v>Slight Delay</v>
      </c>
    </row>
    <row r="171" spans="1:13" x14ac:dyDescent="0.35">
      <c r="A171" t="s">
        <v>166</v>
      </c>
      <c r="B171" t="s">
        <v>477</v>
      </c>
      <c r="C171" t="s">
        <v>585</v>
      </c>
      <c r="D171" s="2" t="s">
        <v>589</v>
      </c>
      <c r="E171" s="1" t="s">
        <v>592</v>
      </c>
      <c r="F171" s="3">
        <v>52</v>
      </c>
      <c r="G171" s="4">
        <v>40000</v>
      </c>
      <c r="H171" s="5">
        <v>148</v>
      </c>
      <c r="I171" s="6">
        <v>45749</v>
      </c>
      <c r="J171" s="2" t="s">
        <v>598</v>
      </c>
      <c r="K171" s="15">
        <f>PRODUCT(Table24[[#This Row],[Ticket Price]],Table24[[#This Row],[Passenger Count]])</f>
        <v>5920000</v>
      </c>
      <c r="L171" s="15">
        <f>Table24[[#This Row],[Revenue]]*(1-$Q$2)</f>
        <v>5328000</v>
      </c>
      <c r="M171" t="str">
        <f t="shared" si="2"/>
        <v>Late</v>
      </c>
    </row>
    <row r="172" spans="1:13" x14ac:dyDescent="0.35">
      <c r="A172" t="s">
        <v>167</v>
      </c>
      <c r="B172" t="s">
        <v>478</v>
      </c>
      <c r="C172" t="s">
        <v>587</v>
      </c>
      <c r="D172" s="2" t="s">
        <v>589</v>
      </c>
      <c r="E172" s="1" t="s">
        <v>593</v>
      </c>
      <c r="F172" s="3">
        <v>97</v>
      </c>
      <c r="G172" s="4">
        <v>140000</v>
      </c>
      <c r="H172" s="5">
        <v>76</v>
      </c>
      <c r="I172" s="6">
        <v>45733</v>
      </c>
      <c r="J172" s="2" t="s">
        <v>598</v>
      </c>
      <c r="K172" s="15">
        <f>PRODUCT(Table24[[#This Row],[Ticket Price]],Table24[[#This Row],[Passenger Count]])</f>
        <v>10640000</v>
      </c>
      <c r="L172" s="15">
        <f>Table24[[#This Row],[Revenue]]*(1-$Q$2)</f>
        <v>9576000</v>
      </c>
      <c r="M172" t="str">
        <f t="shared" si="2"/>
        <v>Late</v>
      </c>
    </row>
    <row r="173" spans="1:13" x14ac:dyDescent="0.35">
      <c r="A173" t="s">
        <v>168</v>
      </c>
      <c r="B173" t="s">
        <v>479</v>
      </c>
      <c r="C173" t="s">
        <v>587</v>
      </c>
      <c r="D173" s="2" t="s">
        <v>585</v>
      </c>
      <c r="E173" s="1" t="s">
        <v>593</v>
      </c>
      <c r="F173" s="3">
        <v>140</v>
      </c>
      <c r="G173" s="4">
        <v>90000</v>
      </c>
      <c r="H173" s="5">
        <v>146</v>
      </c>
      <c r="I173" s="6">
        <v>45664</v>
      </c>
      <c r="J173" s="2" t="s">
        <v>597</v>
      </c>
      <c r="K173" s="15">
        <f>PRODUCT(Table24[[#This Row],[Ticket Price]],Table24[[#This Row],[Passenger Count]])</f>
        <v>13140000</v>
      </c>
      <c r="L173" s="15">
        <f>Table24[[#This Row],[Revenue]]*(1-$Q$2)</f>
        <v>11826000</v>
      </c>
      <c r="M173" t="str">
        <f t="shared" si="2"/>
        <v>Late</v>
      </c>
    </row>
    <row r="174" spans="1:13" x14ac:dyDescent="0.35">
      <c r="A174" t="s">
        <v>169</v>
      </c>
      <c r="B174" t="s">
        <v>480</v>
      </c>
      <c r="C174" t="s">
        <v>587</v>
      </c>
      <c r="D174" s="2" t="s">
        <v>589</v>
      </c>
      <c r="E174" s="1" t="s">
        <v>593</v>
      </c>
      <c r="F174" s="3">
        <v>27</v>
      </c>
      <c r="G174" s="4">
        <v>30000</v>
      </c>
      <c r="H174" s="5">
        <v>144</v>
      </c>
      <c r="I174" s="6">
        <v>45756</v>
      </c>
      <c r="J174" s="2" t="s">
        <v>597</v>
      </c>
      <c r="K174" s="15">
        <f>PRODUCT(Table24[[#This Row],[Ticket Price]],Table24[[#This Row],[Passenger Count]])</f>
        <v>4320000</v>
      </c>
      <c r="L174" s="15">
        <f>Table24[[#This Row],[Revenue]]*(1-$Q$2)</f>
        <v>3888000</v>
      </c>
      <c r="M174" t="str">
        <f t="shared" si="2"/>
        <v>Slight Delay</v>
      </c>
    </row>
    <row r="175" spans="1:13" x14ac:dyDescent="0.35">
      <c r="A175" t="s">
        <v>170</v>
      </c>
      <c r="B175" t="s">
        <v>481</v>
      </c>
      <c r="C175" t="s">
        <v>583</v>
      </c>
      <c r="D175" s="2" t="s">
        <v>589</v>
      </c>
      <c r="E175" s="1" t="s">
        <v>596</v>
      </c>
      <c r="F175" s="3">
        <v>-3</v>
      </c>
      <c r="G175" s="4">
        <v>135000</v>
      </c>
      <c r="H175" s="5">
        <v>78</v>
      </c>
      <c r="I175" s="6">
        <v>45787</v>
      </c>
      <c r="J175" s="2" t="s">
        <v>598</v>
      </c>
      <c r="K175" s="15">
        <f>PRODUCT(Table24[[#This Row],[Ticket Price]],Table24[[#This Row],[Passenger Count]])</f>
        <v>10530000</v>
      </c>
      <c r="L175" s="15">
        <f>Table24[[#This Row],[Revenue]]*(1-$Q$2)</f>
        <v>9477000</v>
      </c>
      <c r="M175" t="str">
        <f t="shared" si="2"/>
        <v>On Time</v>
      </c>
    </row>
    <row r="176" spans="1:13" x14ac:dyDescent="0.35">
      <c r="A176" t="s">
        <v>171</v>
      </c>
      <c r="B176" t="s">
        <v>482</v>
      </c>
      <c r="C176" t="s">
        <v>586</v>
      </c>
      <c r="D176" s="2" t="s">
        <v>587</v>
      </c>
      <c r="E176" s="1" t="s">
        <v>593</v>
      </c>
      <c r="F176" s="3">
        <v>108</v>
      </c>
      <c r="G176" s="4">
        <v>135000</v>
      </c>
      <c r="H176" s="5">
        <v>79</v>
      </c>
      <c r="I176" s="6">
        <v>45687</v>
      </c>
      <c r="J176" s="2" t="s">
        <v>598</v>
      </c>
      <c r="K176" s="15">
        <f>PRODUCT(Table24[[#This Row],[Ticket Price]],Table24[[#This Row],[Passenger Count]])</f>
        <v>10665000</v>
      </c>
      <c r="L176" s="15">
        <f>Table24[[#This Row],[Revenue]]*(1-$Q$2)</f>
        <v>9598500</v>
      </c>
      <c r="M176" t="str">
        <f t="shared" si="2"/>
        <v>Late</v>
      </c>
    </row>
    <row r="177" spans="1:13" x14ac:dyDescent="0.35">
      <c r="A177" t="s">
        <v>172</v>
      </c>
      <c r="B177" t="s">
        <v>380</v>
      </c>
      <c r="C177" t="s">
        <v>585</v>
      </c>
      <c r="D177" s="2" t="s">
        <v>587</v>
      </c>
      <c r="E177" s="1" t="s">
        <v>595</v>
      </c>
      <c r="F177" s="3">
        <v>103</v>
      </c>
      <c r="G177" s="4">
        <v>50000</v>
      </c>
      <c r="H177" s="5">
        <v>98</v>
      </c>
      <c r="I177" s="6">
        <v>45829</v>
      </c>
      <c r="J177" s="2" t="s">
        <v>597</v>
      </c>
      <c r="K177" s="15">
        <f>PRODUCT(Table24[[#This Row],[Ticket Price]],Table24[[#This Row],[Passenger Count]])</f>
        <v>4900000</v>
      </c>
      <c r="L177" s="15">
        <f>Table24[[#This Row],[Revenue]]*(1-$Q$2)</f>
        <v>4410000</v>
      </c>
      <c r="M177" t="str">
        <f t="shared" si="2"/>
        <v>Late</v>
      </c>
    </row>
    <row r="178" spans="1:13" x14ac:dyDescent="0.35">
      <c r="A178" t="s">
        <v>173</v>
      </c>
      <c r="B178" t="s">
        <v>483</v>
      </c>
      <c r="C178" t="s">
        <v>584</v>
      </c>
      <c r="D178" s="2" t="s">
        <v>590</v>
      </c>
      <c r="E178" s="1" t="s">
        <v>596</v>
      </c>
      <c r="F178" s="3">
        <v>172</v>
      </c>
      <c r="G178" s="4">
        <v>40000</v>
      </c>
      <c r="H178" s="5">
        <v>63</v>
      </c>
      <c r="I178" s="6">
        <v>45723</v>
      </c>
      <c r="J178" s="2" t="s">
        <v>597</v>
      </c>
      <c r="K178" s="15">
        <f>PRODUCT(Table24[[#This Row],[Ticket Price]],Table24[[#This Row],[Passenger Count]])</f>
        <v>2520000</v>
      </c>
      <c r="L178" s="15">
        <f>Table24[[#This Row],[Revenue]]*(1-$Q$2)</f>
        <v>2268000</v>
      </c>
      <c r="M178" t="str">
        <f t="shared" si="2"/>
        <v>Late</v>
      </c>
    </row>
    <row r="179" spans="1:13" x14ac:dyDescent="0.35">
      <c r="A179" t="s">
        <v>174</v>
      </c>
      <c r="B179" t="s">
        <v>484</v>
      </c>
      <c r="C179" t="s">
        <v>583</v>
      </c>
      <c r="D179" s="2" t="s">
        <v>587</v>
      </c>
      <c r="E179" s="1" t="s">
        <v>595</v>
      </c>
      <c r="F179" s="3">
        <v>79</v>
      </c>
      <c r="G179" s="4">
        <v>50000</v>
      </c>
      <c r="H179" s="5">
        <v>116</v>
      </c>
      <c r="I179" s="6">
        <v>45674</v>
      </c>
      <c r="J179" s="2" t="s">
        <v>597</v>
      </c>
      <c r="K179" s="15">
        <f>PRODUCT(Table24[[#This Row],[Ticket Price]],Table24[[#This Row],[Passenger Count]])</f>
        <v>5800000</v>
      </c>
      <c r="L179" s="15">
        <f>Table24[[#This Row],[Revenue]]*(1-$Q$2)</f>
        <v>5220000</v>
      </c>
      <c r="M179" t="str">
        <f t="shared" si="2"/>
        <v>Late</v>
      </c>
    </row>
    <row r="180" spans="1:13" x14ac:dyDescent="0.35">
      <c r="A180" t="s">
        <v>175</v>
      </c>
      <c r="B180" t="s">
        <v>485</v>
      </c>
      <c r="C180" t="s">
        <v>585</v>
      </c>
      <c r="D180" s="2" t="s">
        <v>591</v>
      </c>
      <c r="E180" s="1" t="s">
        <v>596</v>
      </c>
      <c r="F180" s="3">
        <v>85</v>
      </c>
      <c r="G180" s="4">
        <v>40000</v>
      </c>
      <c r="H180" s="5">
        <v>102</v>
      </c>
      <c r="I180" s="6">
        <v>45834</v>
      </c>
      <c r="J180" s="2" t="s">
        <v>598</v>
      </c>
      <c r="K180" s="15">
        <f>PRODUCT(Table24[[#This Row],[Ticket Price]],Table24[[#This Row],[Passenger Count]])</f>
        <v>4080000</v>
      </c>
      <c r="L180" s="15">
        <f>Table24[[#This Row],[Revenue]]*(1-$Q$2)</f>
        <v>3672000</v>
      </c>
      <c r="M180" t="str">
        <f t="shared" si="2"/>
        <v>Late</v>
      </c>
    </row>
    <row r="181" spans="1:13" x14ac:dyDescent="0.35">
      <c r="A181" t="s">
        <v>176</v>
      </c>
      <c r="B181" t="s">
        <v>396</v>
      </c>
      <c r="C181" t="s">
        <v>584</v>
      </c>
      <c r="D181" s="2" t="s">
        <v>589</v>
      </c>
      <c r="E181" s="1" t="s">
        <v>595</v>
      </c>
      <c r="F181" s="3">
        <v>71</v>
      </c>
      <c r="G181" s="4">
        <v>65000</v>
      </c>
      <c r="H181" s="5">
        <v>120</v>
      </c>
      <c r="I181" s="6">
        <v>45660</v>
      </c>
      <c r="J181" s="2" t="s">
        <v>597</v>
      </c>
      <c r="K181" s="15">
        <f>PRODUCT(Table24[[#This Row],[Ticket Price]],Table24[[#This Row],[Passenger Count]])</f>
        <v>7800000</v>
      </c>
      <c r="L181" s="15">
        <f>Table24[[#This Row],[Revenue]]*(1-$Q$2)</f>
        <v>7020000</v>
      </c>
      <c r="M181" t="str">
        <f t="shared" si="2"/>
        <v>Late</v>
      </c>
    </row>
    <row r="182" spans="1:13" x14ac:dyDescent="0.35">
      <c r="A182" t="s">
        <v>177</v>
      </c>
      <c r="B182" t="s">
        <v>486</v>
      </c>
      <c r="C182" t="s">
        <v>583</v>
      </c>
      <c r="D182" s="2" t="s">
        <v>584</v>
      </c>
      <c r="E182" s="1" t="s">
        <v>592</v>
      </c>
      <c r="F182" s="3">
        <v>164</v>
      </c>
      <c r="G182" s="4">
        <v>80000</v>
      </c>
      <c r="H182" s="5">
        <v>115</v>
      </c>
      <c r="I182" s="6">
        <v>45715</v>
      </c>
      <c r="J182" s="2" t="s">
        <v>598</v>
      </c>
      <c r="K182" s="15">
        <f>PRODUCT(Table24[[#This Row],[Ticket Price]],Table24[[#This Row],[Passenger Count]])</f>
        <v>9200000</v>
      </c>
      <c r="L182" s="15">
        <f>Table24[[#This Row],[Revenue]]*(1-$Q$2)</f>
        <v>8280000</v>
      </c>
      <c r="M182" t="str">
        <f t="shared" si="2"/>
        <v>Late</v>
      </c>
    </row>
    <row r="183" spans="1:13" x14ac:dyDescent="0.35">
      <c r="A183" t="s">
        <v>178</v>
      </c>
      <c r="B183" t="s">
        <v>487</v>
      </c>
      <c r="C183" t="s">
        <v>582</v>
      </c>
      <c r="D183" s="2" t="s">
        <v>585</v>
      </c>
      <c r="E183" s="1" t="s">
        <v>595</v>
      </c>
      <c r="F183" s="3">
        <v>172</v>
      </c>
      <c r="G183" s="4">
        <v>35000</v>
      </c>
      <c r="H183" s="5">
        <v>141</v>
      </c>
      <c r="I183" s="6">
        <v>45816</v>
      </c>
      <c r="J183" s="2" t="s">
        <v>597</v>
      </c>
      <c r="K183" s="15">
        <f>PRODUCT(Table24[[#This Row],[Ticket Price]],Table24[[#This Row],[Passenger Count]])</f>
        <v>4935000</v>
      </c>
      <c r="L183" s="15">
        <f>Table24[[#This Row],[Revenue]]*(1-$Q$2)</f>
        <v>4441500</v>
      </c>
      <c r="M183" t="str">
        <f t="shared" si="2"/>
        <v>Late</v>
      </c>
    </row>
    <row r="184" spans="1:13" x14ac:dyDescent="0.35">
      <c r="A184" t="s">
        <v>179</v>
      </c>
      <c r="B184" t="s">
        <v>367</v>
      </c>
      <c r="C184" t="s">
        <v>584</v>
      </c>
      <c r="D184" s="2" t="s">
        <v>591</v>
      </c>
      <c r="E184" s="1" t="s">
        <v>593</v>
      </c>
      <c r="F184" s="3">
        <v>74</v>
      </c>
      <c r="G184" s="4">
        <v>140000</v>
      </c>
      <c r="H184" s="5">
        <v>97</v>
      </c>
      <c r="I184" s="6">
        <v>45705</v>
      </c>
      <c r="J184" s="2" t="s">
        <v>598</v>
      </c>
      <c r="K184" s="15">
        <f>PRODUCT(Table24[[#This Row],[Ticket Price]],Table24[[#This Row],[Passenger Count]])</f>
        <v>13580000</v>
      </c>
      <c r="L184" s="15">
        <f>Table24[[#This Row],[Revenue]]*(1-$Q$2)</f>
        <v>12222000</v>
      </c>
      <c r="M184" t="str">
        <f t="shared" si="2"/>
        <v>Late</v>
      </c>
    </row>
    <row r="185" spans="1:13" x14ac:dyDescent="0.35">
      <c r="A185" t="s">
        <v>180</v>
      </c>
      <c r="B185" t="s">
        <v>488</v>
      </c>
      <c r="C185" t="s">
        <v>587</v>
      </c>
      <c r="D185" s="2" t="s">
        <v>589</v>
      </c>
      <c r="E185" s="1" t="s">
        <v>594</v>
      </c>
      <c r="F185" s="3">
        <v>159</v>
      </c>
      <c r="G185" s="4">
        <v>75000</v>
      </c>
      <c r="H185" s="5">
        <v>138</v>
      </c>
      <c r="I185" s="6">
        <v>45725</v>
      </c>
      <c r="J185" s="2" t="s">
        <v>598</v>
      </c>
      <c r="K185" s="15">
        <f>PRODUCT(Table24[[#This Row],[Ticket Price]],Table24[[#This Row],[Passenger Count]])</f>
        <v>10350000</v>
      </c>
      <c r="L185" s="15">
        <f>Table24[[#This Row],[Revenue]]*(1-$Q$2)</f>
        <v>9315000</v>
      </c>
      <c r="M185" t="str">
        <f t="shared" si="2"/>
        <v>Late</v>
      </c>
    </row>
    <row r="186" spans="1:13" x14ac:dyDescent="0.35">
      <c r="A186" t="s">
        <v>181</v>
      </c>
      <c r="B186" t="s">
        <v>489</v>
      </c>
      <c r="C186" t="s">
        <v>582</v>
      </c>
      <c r="D186" s="2" t="s">
        <v>583</v>
      </c>
      <c r="E186" s="1" t="s">
        <v>592</v>
      </c>
      <c r="F186" s="3">
        <v>179</v>
      </c>
      <c r="G186" s="4">
        <v>30000</v>
      </c>
      <c r="H186" s="5">
        <v>77</v>
      </c>
      <c r="I186" s="6">
        <v>45664</v>
      </c>
      <c r="J186" s="2" t="s">
        <v>597</v>
      </c>
      <c r="K186" s="15">
        <f>PRODUCT(Table24[[#This Row],[Ticket Price]],Table24[[#This Row],[Passenger Count]])</f>
        <v>2310000</v>
      </c>
      <c r="L186" s="15">
        <f>Table24[[#This Row],[Revenue]]*(1-$Q$2)</f>
        <v>2079000</v>
      </c>
      <c r="M186" t="str">
        <f t="shared" si="2"/>
        <v>Late</v>
      </c>
    </row>
    <row r="187" spans="1:13" x14ac:dyDescent="0.35">
      <c r="A187" t="s">
        <v>182</v>
      </c>
      <c r="B187" t="s">
        <v>431</v>
      </c>
      <c r="C187" t="s">
        <v>582</v>
      </c>
      <c r="D187" s="2" t="s">
        <v>583</v>
      </c>
      <c r="E187" s="1" t="s">
        <v>592</v>
      </c>
      <c r="F187" s="3">
        <v>125</v>
      </c>
      <c r="G187" s="4">
        <v>135000</v>
      </c>
      <c r="H187" s="5">
        <v>128</v>
      </c>
      <c r="I187" s="6">
        <v>45693</v>
      </c>
      <c r="J187" s="2" t="s">
        <v>597</v>
      </c>
      <c r="K187" s="15">
        <f>PRODUCT(Table24[[#This Row],[Ticket Price]],Table24[[#This Row],[Passenger Count]])</f>
        <v>17280000</v>
      </c>
      <c r="L187" s="15">
        <f>Table24[[#This Row],[Revenue]]*(1-$Q$2)</f>
        <v>15552000</v>
      </c>
      <c r="M187" t="str">
        <f t="shared" si="2"/>
        <v>Late</v>
      </c>
    </row>
    <row r="188" spans="1:13" x14ac:dyDescent="0.35">
      <c r="A188" t="s">
        <v>183</v>
      </c>
      <c r="B188" t="s">
        <v>450</v>
      </c>
      <c r="C188" t="s">
        <v>585</v>
      </c>
      <c r="D188" s="2" t="s">
        <v>587</v>
      </c>
      <c r="E188" s="1" t="s">
        <v>592</v>
      </c>
      <c r="F188" s="3">
        <v>80</v>
      </c>
      <c r="G188" s="4">
        <v>145000</v>
      </c>
      <c r="H188" s="5">
        <v>63</v>
      </c>
      <c r="I188" s="6">
        <v>45696</v>
      </c>
      <c r="J188" s="2" t="s">
        <v>597</v>
      </c>
      <c r="K188" s="15">
        <f>PRODUCT(Table24[[#This Row],[Ticket Price]],Table24[[#This Row],[Passenger Count]])</f>
        <v>9135000</v>
      </c>
      <c r="L188" s="15">
        <f>Table24[[#This Row],[Revenue]]*(1-$Q$2)</f>
        <v>8221500</v>
      </c>
      <c r="M188" t="str">
        <f t="shared" si="2"/>
        <v>Late</v>
      </c>
    </row>
    <row r="189" spans="1:13" x14ac:dyDescent="0.35">
      <c r="A189" t="s">
        <v>184</v>
      </c>
      <c r="B189" t="s">
        <v>490</v>
      </c>
      <c r="C189" t="s">
        <v>581</v>
      </c>
      <c r="D189" s="2" t="s">
        <v>584</v>
      </c>
      <c r="E189" s="1" t="s">
        <v>594</v>
      </c>
      <c r="F189" s="3">
        <v>172</v>
      </c>
      <c r="G189" s="4">
        <v>100000</v>
      </c>
      <c r="H189" s="5">
        <v>133</v>
      </c>
      <c r="I189" s="6">
        <v>45733</v>
      </c>
      <c r="J189" s="2" t="s">
        <v>597</v>
      </c>
      <c r="K189" s="15">
        <f>PRODUCT(Table24[[#This Row],[Ticket Price]],Table24[[#This Row],[Passenger Count]])</f>
        <v>13300000</v>
      </c>
      <c r="L189" s="15">
        <f>Table24[[#This Row],[Revenue]]*(1-$Q$2)</f>
        <v>11970000</v>
      </c>
      <c r="M189" t="str">
        <f t="shared" si="2"/>
        <v>Late</v>
      </c>
    </row>
    <row r="190" spans="1:13" x14ac:dyDescent="0.35">
      <c r="A190" t="s">
        <v>185</v>
      </c>
      <c r="B190" t="s">
        <v>491</v>
      </c>
      <c r="C190" t="s">
        <v>588</v>
      </c>
      <c r="D190" s="2" t="s">
        <v>590</v>
      </c>
      <c r="E190" s="1" t="s">
        <v>596</v>
      </c>
      <c r="F190" s="3">
        <v>119</v>
      </c>
      <c r="G190" s="4">
        <v>45000</v>
      </c>
      <c r="H190" s="5">
        <v>69</v>
      </c>
      <c r="I190" s="6">
        <v>45669</v>
      </c>
      <c r="J190" s="2" t="s">
        <v>598</v>
      </c>
      <c r="K190" s="15">
        <f>PRODUCT(Table24[[#This Row],[Ticket Price]],Table24[[#This Row],[Passenger Count]])</f>
        <v>3105000</v>
      </c>
      <c r="L190" s="15">
        <f>Table24[[#This Row],[Revenue]]*(1-$Q$2)</f>
        <v>2794500</v>
      </c>
      <c r="M190" t="str">
        <f t="shared" si="2"/>
        <v>Late</v>
      </c>
    </row>
    <row r="191" spans="1:13" x14ac:dyDescent="0.35">
      <c r="A191" t="s">
        <v>186</v>
      </c>
      <c r="B191" t="s">
        <v>492</v>
      </c>
      <c r="C191" t="s">
        <v>588</v>
      </c>
      <c r="D191" s="2" t="s">
        <v>590</v>
      </c>
      <c r="E191" s="1" t="s">
        <v>596</v>
      </c>
      <c r="F191" s="3">
        <v>93</v>
      </c>
      <c r="G191" s="4">
        <v>70000</v>
      </c>
      <c r="H191" s="5">
        <v>123</v>
      </c>
      <c r="I191" s="6">
        <v>45666</v>
      </c>
      <c r="J191" s="2" t="s">
        <v>598</v>
      </c>
      <c r="K191" s="15">
        <f>PRODUCT(Table24[[#This Row],[Ticket Price]],Table24[[#This Row],[Passenger Count]])</f>
        <v>8610000</v>
      </c>
      <c r="L191" s="15">
        <f>Table24[[#This Row],[Revenue]]*(1-$Q$2)</f>
        <v>7749000</v>
      </c>
      <c r="M191" t="str">
        <f t="shared" si="2"/>
        <v>Late</v>
      </c>
    </row>
    <row r="192" spans="1:13" x14ac:dyDescent="0.35">
      <c r="A192" t="s">
        <v>187</v>
      </c>
      <c r="B192" t="s">
        <v>472</v>
      </c>
      <c r="C192" t="s">
        <v>586</v>
      </c>
      <c r="D192" s="2" t="s">
        <v>591</v>
      </c>
      <c r="E192" s="1" t="s">
        <v>592</v>
      </c>
      <c r="F192" s="3">
        <v>169</v>
      </c>
      <c r="G192" s="4">
        <v>40000</v>
      </c>
      <c r="H192" s="5">
        <v>111</v>
      </c>
      <c r="I192" s="6">
        <v>45746</v>
      </c>
      <c r="J192" s="2" t="s">
        <v>597</v>
      </c>
      <c r="K192" s="15">
        <f>PRODUCT(Table24[[#This Row],[Ticket Price]],Table24[[#This Row],[Passenger Count]])</f>
        <v>4440000</v>
      </c>
      <c r="L192" s="15">
        <f>Table24[[#This Row],[Revenue]]*(1-$Q$2)</f>
        <v>3996000</v>
      </c>
      <c r="M192" t="str">
        <f t="shared" si="2"/>
        <v>Late</v>
      </c>
    </row>
    <row r="193" spans="1:13" x14ac:dyDescent="0.35">
      <c r="A193" t="s">
        <v>188</v>
      </c>
      <c r="B193" t="s">
        <v>493</v>
      </c>
      <c r="C193" t="s">
        <v>586</v>
      </c>
      <c r="D193" s="2" t="s">
        <v>591</v>
      </c>
      <c r="E193" s="1" t="s">
        <v>593</v>
      </c>
      <c r="F193" s="3">
        <v>29</v>
      </c>
      <c r="G193" s="4">
        <v>50000</v>
      </c>
      <c r="H193" s="5">
        <v>178</v>
      </c>
      <c r="I193" s="6">
        <v>45668</v>
      </c>
      <c r="J193" s="2" t="s">
        <v>597</v>
      </c>
      <c r="K193" s="15">
        <f>PRODUCT(Table24[[#This Row],[Ticket Price]],Table24[[#This Row],[Passenger Count]])</f>
        <v>8900000</v>
      </c>
      <c r="L193" s="15">
        <f>Table24[[#This Row],[Revenue]]*(1-$Q$2)</f>
        <v>8010000</v>
      </c>
      <c r="M193" t="str">
        <f t="shared" si="2"/>
        <v>Slight Delay</v>
      </c>
    </row>
    <row r="194" spans="1:13" x14ac:dyDescent="0.35">
      <c r="A194" t="s">
        <v>189</v>
      </c>
      <c r="B194" t="s">
        <v>494</v>
      </c>
      <c r="C194" t="s">
        <v>587</v>
      </c>
      <c r="D194" s="2" t="s">
        <v>590</v>
      </c>
      <c r="E194" s="1" t="s">
        <v>595</v>
      </c>
      <c r="F194" s="3">
        <v>143</v>
      </c>
      <c r="G194" s="4">
        <v>130000</v>
      </c>
      <c r="H194" s="5">
        <v>75</v>
      </c>
      <c r="I194" s="6">
        <v>45759</v>
      </c>
      <c r="J194" s="2" t="s">
        <v>597</v>
      </c>
      <c r="K194" s="15">
        <f>PRODUCT(Table24[[#This Row],[Ticket Price]],Table24[[#This Row],[Passenger Count]])</f>
        <v>9750000</v>
      </c>
      <c r="L194" s="15">
        <f>Table24[[#This Row],[Revenue]]*(1-$Q$2)</f>
        <v>8775000</v>
      </c>
      <c r="M194" t="str">
        <f t="shared" ref="M194:M257" si="3">IF(F194&lt;=10,"On Time",IF(F194&lt;=30,"Slight Delay","Late"))</f>
        <v>Late</v>
      </c>
    </row>
    <row r="195" spans="1:13" x14ac:dyDescent="0.35">
      <c r="A195" t="s">
        <v>190</v>
      </c>
      <c r="B195" t="s">
        <v>495</v>
      </c>
      <c r="C195" t="s">
        <v>582</v>
      </c>
      <c r="D195" s="2" t="s">
        <v>584</v>
      </c>
      <c r="E195" s="1" t="s">
        <v>593</v>
      </c>
      <c r="F195" s="3">
        <v>87</v>
      </c>
      <c r="G195" s="4">
        <v>40000</v>
      </c>
      <c r="H195" s="5">
        <v>162</v>
      </c>
      <c r="I195" s="6">
        <v>45785</v>
      </c>
      <c r="J195" s="2" t="s">
        <v>598</v>
      </c>
      <c r="K195" s="15">
        <f>PRODUCT(Table24[[#This Row],[Ticket Price]],Table24[[#This Row],[Passenger Count]])</f>
        <v>6480000</v>
      </c>
      <c r="L195" s="15">
        <f>Table24[[#This Row],[Revenue]]*(1-$Q$2)</f>
        <v>5832000</v>
      </c>
      <c r="M195" t="str">
        <f t="shared" si="3"/>
        <v>Late</v>
      </c>
    </row>
    <row r="196" spans="1:13" x14ac:dyDescent="0.35">
      <c r="A196" t="s">
        <v>191</v>
      </c>
      <c r="B196" t="s">
        <v>383</v>
      </c>
      <c r="C196" t="s">
        <v>581</v>
      </c>
      <c r="D196" s="2" t="s">
        <v>582</v>
      </c>
      <c r="E196" s="1" t="s">
        <v>594</v>
      </c>
      <c r="F196" s="3">
        <v>166</v>
      </c>
      <c r="G196" s="4">
        <v>50000</v>
      </c>
      <c r="H196" s="5">
        <v>116</v>
      </c>
      <c r="I196" s="6">
        <v>45712</v>
      </c>
      <c r="J196" s="2" t="s">
        <v>598</v>
      </c>
      <c r="K196" s="15">
        <f>PRODUCT(Table24[[#This Row],[Ticket Price]],Table24[[#This Row],[Passenger Count]])</f>
        <v>5800000</v>
      </c>
      <c r="L196" s="15">
        <f>Table24[[#This Row],[Revenue]]*(1-$Q$2)</f>
        <v>5220000</v>
      </c>
      <c r="M196" t="str">
        <f t="shared" si="3"/>
        <v>Late</v>
      </c>
    </row>
    <row r="197" spans="1:13" x14ac:dyDescent="0.35">
      <c r="A197" t="s">
        <v>192</v>
      </c>
      <c r="B197" t="s">
        <v>496</v>
      </c>
      <c r="C197" t="s">
        <v>581</v>
      </c>
      <c r="D197" s="2" t="s">
        <v>587</v>
      </c>
      <c r="E197" s="1" t="s">
        <v>592</v>
      </c>
      <c r="F197" s="3">
        <v>165</v>
      </c>
      <c r="G197" s="4">
        <v>140000</v>
      </c>
      <c r="H197" s="5">
        <v>96</v>
      </c>
      <c r="I197" s="6">
        <v>45834</v>
      </c>
      <c r="J197" s="2" t="s">
        <v>598</v>
      </c>
      <c r="K197" s="15">
        <f>PRODUCT(Table24[[#This Row],[Ticket Price]],Table24[[#This Row],[Passenger Count]])</f>
        <v>13440000</v>
      </c>
      <c r="L197" s="15">
        <f>Table24[[#This Row],[Revenue]]*(1-$Q$2)</f>
        <v>12096000</v>
      </c>
      <c r="M197" t="str">
        <f t="shared" si="3"/>
        <v>Late</v>
      </c>
    </row>
    <row r="198" spans="1:13" x14ac:dyDescent="0.35">
      <c r="A198" t="s">
        <v>193</v>
      </c>
      <c r="B198" t="s">
        <v>457</v>
      </c>
      <c r="C198" t="s">
        <v>585</v>
      </c>
      <c r="D198" s="2" t="s">
        <v>582</v>
      </c>
      <c r="E198" s="1" t="s">
        <v>594</v>
      </c>
      <c r="F198" s="3">
        <v>147</v>
      </c>
      <c r="G198" s="4">
        <v>35000</v>
      </c>
      <c r="H198" s="5">
        <v>105</v>
      </c>
      <c r="I198" s="6">
        <v>45705</v>
      </c>
      <c r="J198" s="2" t="s">
        <v>597</v>
      </c>
      <c r="K198" s="15">
        <f>PRODUCT(Table24[[#This Row],[Ticket Price]],Table24[[#This Row],[Passenger Count]])</f>
        <v>3675000</v>
      </c>
      <c r="L198" s="15">
        <f>Table24[[#This Row],[Revenue]]*(1-$Q$2)</f>
        <v>3307500</v>
      </c>
      <c r="M198" t="str">
        <f t="shared" si="3"/>
        <v>Late</v>
      </c>
    </row>
    <row r="199" spans="1:13" x14ac:dyDescent="0.35">
      <c r="A199" t="s">
        <v>194</v>
      </c>
      <c r="B199" t="s">
        <v>497</v>
      </c>
      <c r="C199" t="s">
        <v>581</v>
      </c>
      <c r="D199" s="2" t="s">
        <v>589</v>
      </c>
      <c r="E199" s="1" t="s">
        <v>592</v>
      </c>
      <c r="F199" s="3">
        <v>16</v>
      </c>
      <c r="G199" s="4">
        <v>110000</v>
      </c>
      <c r="H199" s="5">
        <v>169</v>
      </c>
      <c r="I199" s="6">
        <v>45799</v>
      </c>
      <c r="J199" s="2" t="s">
        <v>597</v>
      </c>
      <c r="K199" s="15">
        <f>PRODUCT(Table24[[#This Row],[Ticket Price]],Table24[[#This Row],[Passenger Count]])</f>
        <v>18590000</v>
      </c>
      <c r="L199" s="15">
        <f>Table24[[#This Row],[Revenue]]*(1-$Q$2)</f>
        <v>16731000</v>
      </c>
      <c r="M199" t="str">
        <f t="shared" si="3"/>
        <v>Slight Delay</v>
      </c>
    </row>
    <row r="200" spans="1:13" x14ac:dyDescent="0.35">
      <c r="A200" t="s">
        <v>195</v>
      </c>
      <c r="B200" t="s">
        <v>429</v>
      </c>
      <c r="C200" t="s">
        <v>581</v>
      </c>
      <c r="D200" s="2" t="s">
        <v>585</v>
      </c>
      <c r="E200" s="1" t="s">
        <v>596</v>
      </c>
      <c r="F200" s="3">
        <v>129</v>
      </c>
      <c r="G200" s="4">
        <v>135000</v>
      </c>
      <c r="H200" s="5">
        <v>60</v>
      </c>
      <c r="I200" s="6">
        <v>45703</v>
      </c>
      <c r="J200" s="2" t="s">
        <v>598</v>
      </c>
      <c r="K200" s="15">
        <f>PRODUCT(Table24[[#This Row],[Ticket Price]],Table24[[#This Row],[Passenger Count]])</f>
        <v>8100000</v>
      </c>
      <c r="L200" s="15">
        <f>Table24[[#This Row],[Revenue]]*(1-$Q$2)</f>
        <v>7290000</v>
      </c>
      <c r="M200" t="str">
        <f t="shared" si="3"/>
        <v>Late</v>
      </c>
    </row>
    <row r="201" spans="1:13" x14ac:dyDescent="0.35">
      <c r="A201" t="s">
        <v>196</v>
      </c>
      <c r="B201" t="s">
        <v>498</v>
      </c>
      <c r="C201" t="s">
        <v>588</v>
      </c>
      <c r="D201" s="2" t="s">
        <v>591</v>
      </c>
      <c r="E201" s="1" t="s">
        <v>593</v>
      </c>
      <c r="F201" s="3">
        <v>130</v>
      </c>
      <c r="G201" s="4">
        <v>65000</v>
      </c>
      <c r="H201" s="5">
        <v>115</v>
      </c>
      <c r="I201" s="6">
        <v>45779</v>
      </c>
      <c r="J201" s="2" t="s">
        <v>597</v>
      </c>
      <c r="K201" s="15">
        <f>PRODUCT(Table24[[#This Row],[Ticket Price]],Table24[[#This Row],[Passenger Count]])</f>
        <v>7475000</v>
      </c>
      <c r="L201" s="15">
        <f>Table24[[#This Row],[Revenue]]*(1-$Q$2)</f>
        <v>6727500</v>
      </c>
      <c r="M201" t="str">
        <f t="shared" si="3"/>
        <v>Late</v>
      </c>
    </row>
    <row r="202" spans="1:13" x14ac:dyDescent="0.35">
      <c r="A202" t="s">
        <v>197</v>
      </c>
      <c r="B202" t="s">
        <v>441</v>
      </c>
      <c r="C202" t="s">
        <v>588</v>
      </c>
      <c r="D202" s="2" t="s">
        <v>583</v>
      </c>
      <c r="E202" s="1" t="s">
        <v>595</v>
      </c>
      <c r="F202" s="3">
        <v>3</v>
      </c>
      <c r="G202" s="4">
        <v>60000</v>
      </c>
      <c r="H202" s="5">
        <v>160</v>
      </c>
      <c r="I202" s="6">
        <v>45681</v>
      </c>
      <c r="J202" s="2" t="s">
        <v>598</v>
      </c>
      <c r="K202" s="15">
        <f>PRODUCT(Table24[[#This Row],[Ticket Price]],Table24[[#This Row],[Passenger Count]])</f>
        <v>9600000</v>
      </c>
      <c r="L202" s="15">
        <f>Table24[[#This Row],[Revenue]]*(1-$Q$2)</f>
        <v>8640000</v>
      </c>
      <c r="M202" t="str">
        <f t="shared" si="3"/>
        <v>On Time</v>
      </c>
    </row>
    <row r="203" spans="1:13" x14ac:dyDescent="0.35">
      <c r="A203" t="s">
        <v>198</v>
      </c>
      <c r="B203" t="s">
        <v>499</v>
      </c>
      <c r="C203" t="s">
        <v>586</v>
      </c>
      <c r="D203" s="2" t="s">
        <v>590</v>
      </c>
      <c r="E203" s="1" t="s">
        <v>593</v>
      </c>
      <c r="F203" s="3">
        <v>145</v>
      </c>
      <c r="G203" s="4">
        <v>25000</v>
      </c>
      <c r="H203" s="5">
        <v>152</v>
      </c>
      <c r="I203" s="6">
        <v>45736</v>
      </c>
      <c r="J203" s="2" t="s">
        <v>598</v>
      </c>
      <c r="K203" s="15">
        <f>PRODUCT(Table24[[#This Row],[Ticket Price]],Table24[[#This Row],[Passenger Count]])</f>
        <v>3800000</v>
      </c>
      <c r="L203" s="15">
        <f>Table24[[#This Row],[Revenue]]*(1-$Q$2)</f>
        <v>3420000</v>
      </c>
      <c r="M203" t="str">
        <f t="shared" si="3"/>
        <v>Late</v>
      </c>
    </row>
    <row r="204" spans="1:13" x14ac:dyDescent="0.35">
      <c r="A204" t="s">
        <v>199</v>
      </c>
      <c r="B204" t="s">
        <v>500</v>
      </c>
      <c r="C204" t="s">
        <v>585</v>
      </c>
      <c r="D204" s="2" t="s">
        <v>590</v>
      </c>
      <c r="E204" s="1" t="s">
        <v>594</v>
      </c>
      <c r="F204" s="3">
        <v>140</v>
      </c>
      <c r="G204" s="4">
        <v>120000</v>
      </c>
      <c r="H204" s="5">
        <v>82</v>
      </c>
      <c r="I204" s="6">
        <v>45822</v>
      </c>
      <c r="J204" s="2" t="s">
        <v>598</v>
      </c>
      <c r="K204" s="15">
        <f>PRODUCT(Table24[[#This Row],[Ticket Price]],Table24[[#This Row],[Passenger Count]])</f>
        <v>9840000</v>
      </c>
      <c r="L204" s="15">
        <f>Table24[[#This Row],[Revenue]]*(1-$Q$2)</f>
        <v>8856000</v>
      </c>
      <c r="M204" t="str">
        <f t="shared" si="3"/>
        <v>Late</v>
      </c>
    </row>
    <row r="205" spans="1:13" x14ac:dyDescent="0.35">
      <c r="A205" t="s">
        <v>200</v>
      </c>
      <c r="B205" t="s">
        <v>501</v>
      </c>
      <c r="C205" t="s">
        <v>586</v>
      </c>
      <c r="D205" s="2" t="s">
        <v>590</v>
      </c>
      <c r="E205" s="1" t="s">
        <v>595</v>
      </c>
      <c r="F205" s="3">
        <v>94</v>
      </c>
      <c r="G205" s="4">
        <v>85000</v>
      </c>
      <c r="H205" s="5">
        <v>116</v>
      </c>
      <c r="I205" s="6">
        <v>45801</v>
      </c>
      <c r="J205" s="2" t="s">
        <v>598</v>
      </c>
      <c r="K205" s="15">
        <f>PRODUCT(Table24[[#This Row],[Ticket Price]],Table24[[#This Row],[Passenger Count]])</f>
        <v>9860000</v>
      </c>
      <c r="L205" s="15">
        <f>Table24[[#This Row],[Revenue]]*(1-$Q$2)</f>
        <v>8874000</v>
      </c>
      <c r="M205" t="str">
        <f t="shared" si="3"/>
        <v>Late</v>
      </c>
    </row>
    <row r="206" spans="1:13" x14ac:dyDescent="0.35">
      <c r="A206" t="s">
        <v>201</v>
      </c>
      <c r="B206" t="s">
        <v>502</v>
      </c>
      <c r="C206" t="s">
        <v>587</v>
      </c>
      <c r="D206" s="2" t="s">
        <v>591</v>
      </c>
      <c r="E206" s="1" t="s">
        <v>594</v>
      </c>
      <c r="F206" s="3">
        <v>111</v>
      </c>
      <c r="G206" s="4">
        <v>105000</v>
      </c>
      <c r="H206" s="5">
        <v>175</v>
      </c>
      <c r="I206" s="6">
        <v>45824</v>
      </c>
      <c r="J206" s="2" t="s">
        <v>598</v>
      </c>
      <c r="K206" s="15">
        <f>PRODUCT(Table24[[#This Row],[Ticket Price]],Table24[[#This Row],[Passenger Count]])</f>
        <v>18375000</v>
      </c>
      <c r="L206" s="15">
        <f>Table24[[#This Row],[Revenue]]*(1-$Q$2)</f>
        <v>16537500</v>
      </c>
      <c r="M206" t="str">
        <f t="shared" si="3"/>
        <v>Late</v>
      </c>
    </row>
    <row r="207" spans="1:13" x14ac:dyDescent="0.35">
      <c r="A207" t="s">
        <v>202</v>
      </c>
      <c r="B207" t="s">
        <v>385</v>
      </c>
      <c r="C207" t="s">
        <v>588</v>
      </c>
      <c r="D207" s="2" t="s">
        <v>590</v>
      </c>
      <c r="E207" s="1" t="s">
        <v>596</v>
      </c>
      <c r="F207" s="3">
        <v>29</v>
      </c>
      <c r="G207" s="4">
        <v>30000</v>
      </c>
      <c r="H207" s="5">
        <v>126</v>
      </c>
      <c r="I207" s="6">
        <v>45826</v>
      </c>
      <c r="J207" s="2" t="s">
        <v>597</v>
      </c>
      <c r="K207" s="15">
        <f>PRODUCT(Table24[[#This Row],[Ticket Price]],Table24[[#This Row],[Passenger Count]])</f>
        <v>3780000</v>
      </c>
      <c r="L207" s="15">
        <f>Table24[[#This Row],[Revenue]]*(1-$Q$2)</f>
        <v>3402000</v>
      </c>
      <c r="M207" t="str">
        <f t="shared" si="3"/>
        <v>Slight Delay</v>
      </c>
    </row>
    <row r="208" spans="1:13" x14ac:dyDescent="0.35">
      <c r="A208" t="s">
        <v>203</v>
      </c>
      <c r="B208" t="s">
        <v>457</v>
      </c>
      <c r="C208" t="s">
        <v>582</v>
      </c>
      <c r="D208" s="2" t="s">
        <v>590</v>
      </c>
      <c r="E208" s="1" t="s">
        <v>593</v>
      </c>
      <c r="F208" s="3">
        <v>74</v>
      </c>
      <c r="G208" s="4">
        <v>85000</v>
      </c>
      <c r="H208" s="5">
        <v>78</v>
      </c>
      <c r="I208" s="6">
        <v>45688</v>
      </c>
      <c r="J208" s="2" t="s">
        <v>597</v>
      </c>
      <c r="K208" s="15">
        <f>PRODUCT(Table24[[#This Row],[Ticket Price]],Table24[[#This Row],[Passenger Count]])</f>
        <v>6630000</v>
      </c>
      <c r="L208" s="15">
        <f>Table24[[#This Row],[Revenue]]*(1-$Q$2)</f>
        <v>5967000</v>
      </c>
      <c r="M208" t="str">
        <f t="shared" si="3"/>
        <v>Late</v>
      </c>
    </row>
    <row r="209" spans="1:13" x14ac:dyDescent="0.35">
      <c r="A209" t="s">
        <v>204</v>
      </c>
      <c r="B209" t="s">
        <v>503</v>
      </c>
      <c r="C209" t="s">
        <v>582</v>
      </c>
      <c r="D209" s="2" t="s">
        <v>589</v>
      </c>
      <c r="E209" s="1" t="s">
        <v>594</v>
      </c>
      <c r="F209" s="3">
        <v>159</v>
      </c>
      <c r="G209" s="4">
        <v>145000</v>
      </c>
      <c r="H209" s="5">
        <v>125</v>
      </c>
      <c r="I209" s="6">
        <v>45675</v>
      </c>
      <c r="J209" s="2" t="s">
        <v>598</v>
      </c>
      <c r="K209" s="15">
        <f>PRODUCT(Table24[[#This Row],[Ticket Price]],Table24[[#This Row],[Passenger Count]])</f>
        <v>18125000</v>
      </c>
      <c r="L209" s="15">
        <f>Table24[[#This Row],[Revenue]]*(1-$Q$2)</f>
        <v>16312500</v>
      </c>
      <c r="M209" t="str">
        <f t="shared" si="3"/>
        <v>Late</v>
      </c>
    </row>
    <row r="210" spans="1:13" x14ac:dyDescent="0.35">
      <c r="A210" t="s">
        <v>205</v>
      </c>
      <c r="B210" t="s">
        <v>347</v>
      </c>
      <c r="C210" t="s">
        <v>587</v>
      </c>
      <c r="D210" s="2" t="s">
        <v>590</v>
      </c>
      <c r="E210" s="1" t="s">
        <v>594</v>
      </c>
      <c r="F210" s="3">
        <v>178</v>
      </c>
      <c r="G210" s="4">
        <v>50000</v>
      </c>
      <c r="H210" s="5">
        <v>154</v>
      </c>
      <c r="I210" s="6">
        <v>45742</v>
      </c>
      <c r="J210" s="2" t="s">
        <v>598</v>
      </c>
      <c r="K210" s="15">
        <f>PRODUCT(Table24[[#This Row],[Ticket Price]],Table24[[#This Row],[Passenger Count]])</f>
        <v>7700000</v>
      </c>
      <c r="L210" s="15">
        <f>Table24[[#This Row],[Revenue]]*(1-$Q$2)</f>
        <v>6930000</v>
      </c>
      <c r="M210" t="str">
        <f t="shared" si="3"/>
        <v>Late</v>
      </c>
    </row>
    <row r="211" spans="1:13" x14ac:dyDescent="0.35">
      <c r="A211" t="s">
        <v>206</v>
      </c>
      <c r="B211" t="s">
        <v>504</v>
      </c>
      <c r="C211" t="s">
        <v>588</v>
      </c>
      <c r="D211" s="2" t="s">
        <v>582</v>
      </c>
      <c r="E211" s="1" t="s">
        <v>593</v>
      </c>
      <c r="F211" s="3">
        <v>108</v>
      </c>
      <c r="G211" s="4">
        <v>125000</v>
      </c>
      <c r="H211" s="5">
        <v>170</v>
      </c>
      <c r="I211" s="6">
        <v>45773</v>
      </c>
      <c r="J211" s="2" t="s">
        <v>598</v>
      </c>
      <c r="K211" s="15">
        <f>PRODUCT(Table24[[#This Row],[Ticket Price]],Table24[[#This Row],[Passenger Count]])</f>
        <v>21250000</v>
      </c>
      <c r="L211" s="15">
        <f>Table24[[#This Row],[Revenue]]*(1-$Q$2)</f>
        <v>19125000</v>
      </c>
      <c r="M211" t="str">
        <f t="shared" si="3"/>
        <v>Late</v>
      </c>
    </row>
    <row r="212" spans="1:13" x14ac:dyDescent="0.35">
      <c r="A212" t="s">
        <v>207</v>
      </c>
      <c r="B212" t="s">
        <v>447</v>
      </c>
      <c r="C212" t="s">
        <v>584</v>
      </c>
      <c r="D212" s="2" t="s">
        <v>587</v>
      </c>
      <c r="E212" s="1" t="s">
        <v>594</v>
      </c>
      <c r="F212" s="3">
        <v>42</v>
      </c>
      <c r="G212" s="4">
        <v>115000</v>
      </c>
      <c r="H212" s="5">
        <v>125</v>
      </c>
      <c r="I212" s="6">
        <v>45834</v>
      </c>
      <c r="J212" s="2" t="s">
        <v>598</v>
      </c>
      <c r="K212" s="15">
        <f>PRODUCT(Table24[[#This Row],[Ticket Price]],Table24[[#This Row],[Passenger Count]])</f>
        <v>14375000</v>
      </c>
      <c r="L212" s="15">
        <f>Table24[[#This Row],[Revenue]]*(1-$Q$2)</f>
        <v>12937500</v>
      </c>
      <c r="M212" t="str">
        <f t="shared" si="3"/>
        <v>Late</v>
      </c>
    </row>
    <row r="213" spans="1:13" x14ac:dyDescent="0.35">
      <c r="A213" t="s">
        <v>208</v>
      </c>
      <c r="B213" t="s">
        <v>505</v>
      </c>
      <c r="C213" t="s">
        <v>581</v>
      </c>
      <c r="D213" s="2" t="s">
        <v>585</v>
      </c>
      <c r="E213" s="1" t="s">
        <v>595</v>
      </c>
      <c r="F213" s="3">
        <v>26</v>
      </c>
      <c r="G213" s="4">
        <v>50000</v>
      </c>
      <c r="H213" s="5">
        <v>73</v>
      </c>
      <c r="I213" s="6">
        <v>45673</v>
      </c>
      <c r="J213" s="2" t="s">
        <v>597</v>
      </c>
      <c r="K213" s="15">
        <f>PRODUCT(Table24[[#This Row],[Ticket Price]],Table24[[#This Row],[Passenger Count]])</f>
        <v>3650000</v>
      </c>
      <c r="L213" s="15">
        <f>Table24[[#This Row],[Revenue]]*(1-$Q$2)</f>
        <v>3285000</v>
      </c>
      <c r="M213" t="str">
        <f t="shared" si="3"/>
        <v>Slight Delay</v>
      </c>
    </row>
    <row r="214" spans="1:13" x14ac:dyDescent="0.35">
      <c r="A214" t="s">
        <v>209</v>
      </c>
      <c r="B214" t="s">
        <v>506</v>
      </c>
      <c r="C214" t="s">
        <v>581</v>
      </c>
      <c r="D214" s="2" t="s">
        <v>591</v>
      </c>
      <c r="E214" s="1" t="s">
        <v>593</v>
      </c>
      <c r="F214" s="3">
        <v>82</v>
      </c>
      <c r="G214" s="4">
        <v>55000</v>
      </c>
      <c r="H214" s="5">
        <v>171</v>
      </c>
      <c r="I214" s="6">
        <v>45820</v>
      </c>
      <c r="J214" s="2" t="s">
        <v>597</v>
      </c>
      <c r="K214" s="15">
        <f>PRODUCT(Table24[[#This Row],[Ticket Price]],Table24[[#This Row],[Passenger Count]])</f>
        <v>9405000</v>
      </c>
      <c r="L214" s="15">
        <f>Table24[[#This Row],[Revenue]]*(1-$Q$2)</f>
        <v>8464500</v>
      </c>
      <c r="M214" t="str">
        <f t="shared" si="3"/>
        <v>Late</v>
      </c>
    </row>
    <row r="215" spans="1:13" x14ac:dyDescent="0.35">
      <c r="A215" t="s">
        <v>210</v>
      </c>
      <c r="B215" t="s">
        <v>507</v>
      </c>
      <c r="C215" t="s">
        <v>583</v>
      </c>
      <c r="D215" s="2" t="s">
        <v>584</v>
      </c>
      <c r="E215" s="1" t="s">
        <v>593</v>
      </c>
      <c r="F215" s="3">
        <v>149</v>
      </c>
      <c r="G215" s="4">
        <v>140000</v>
      </c>
      <c r="H215" s="5">
        <v>148</v>
      </c>
      <c r="I215" s="6">
        <v>45801</v>
      </c>
      <c r="J215" s="2" t="s">
        <v>598</v>
      </c>
      <c r="K215" s="15">
        <f>PRODUCT(Table24[[#This Row],[Ticket Price]],Table24[[#This Row],[Passenger Count]])</f>
        <v>20720000</v>
      </c>
      <c r="L215" s="15">
        <f>Table24[[#This Row],[Revenue]]*(1-$Q$2)</f>
        <v>18648000</v>
      </c>
      <c r="M215" t="str">
        <f t="shared" si="3"/>
        <v>Late</v>
      </c>
    </row>
    <row r="216" spans="1:13" x14ac:dyDescent="0.35">
      <c r="A216" t="s">
        <v>211</v>
      </c>
      <c r="B216" t="s">
        <v>508</v>
      </c>
      <c r="C216" t="s">
        <v>586</v>
      </c>
      <c r="D216" s="2" t="s">
        <v>582</v>
      </c>
      <c r="E216" s="1" t="s">
        <v>596</v>
      </c>
      <c r="F216" s="3">
        <v>8</v>
      </c>
      <c r="G216" s="4">
        <v>65000</v>
      </c>
      <c r="H216" s="5">
        <v>90</v>
      </c>
      <c r="I216" s="6">
        <v>45736</v>
      </c>
      <c r="J216" s="2" t="s">
        <v>597</v>
      </c>
      <c r="K216" s="15">
        <f>PRODUCT(Table24[[#This Row],[Ticket Price]],Table24[[#This Row],[Passenger Count]])</f>
        <v>5850000</v>
      </c>
      <c r="L216" s="15">
        <f>Table24[[#This Row],[Revenue]]*(1-$Q$2)</f>
        <v>5265000</v>
      </c>
      <c r="M216" t="str">
        <f t="shared" si="3"/>
        <v>On Time</v>
      </c>
    </row>
    <row r="217" spans="1:13" x14ac:dyDescent="0.35">
      <c r="A217" t="s">
        <v>212</v>
      </c>
      <c r="B217" t="s">
        <v>509</v>
      </c>
      <c r="C217" t="s">
        <v>587</v>
      </c>
      <c r="D217" s="2" t="s">
        <v>590</v>
      </c>
      <c r="E217" s="1" t="s">
        <v>593</v>
      </c>
      <c r="F217" s="3">
        <v>19</v>
      </c>
      <c r="G217" s="4">
        <v>105000</v>
      </c>
      <c r="H217" s="5">
        <v>118</v>
      </c>
      <c r="I217" s="6">
        <v>45731</v>
      </c>
      <c r="J217" s="2" t="s">
        <v>597</v>
      </c>
      <c r="K217" s="15">
        <f>PRODUCT(Table24[[#This Row],[Ticket Price]],Table24[[#This Row],[Passenger Count]])</f>
        <v>12390000</v>
      </c>
      <c r="L217" s="15">
        <f>Table24[[#This Row],[Revenue]]*(1-$Q$2)</f>
        <v>11151000</v>
      </c>
      <c r="M217" t="str">
        <f t="shared" si="3"/>
        <v>Slight Delay</v>
      </c>
    </row>
    <row r="218" spans="1:13" x14ac:dyDescent="0.35">
      <c r="A218" t="s">
        <v>213</v>
      </c>
      <c r="B218" t="s">
        <v>510</v>
      </c>
      <c r="C218" t="s">
        <v>583</v>
      </c>
      <c r="D218" s="2" t="s">
        <v>587</v>
      </c>
      <c r="E218" s="1" t="s">
        <v>596</v>
      </c>
      <c r="F218" s="3">
        <v>57</v>
      </c>
      <c r="G218" s="4">
        <v>35000</v>
      </c>
      <c r="H218" s="5">
        <v>134</v>
      </c>
      <c r="I218" s="6">
        <v>45767</v>
      </c>
      <c r="J218" s="2" t="s">
        <v>597</v>
      </c>
      <c r="K218" s="15">
        <f>PRODUCT(Table24[[#This Row],[Ticket Price]],Table24[[#This Row],[Passenger Count]])</f>
        <v>4690000</v>
      </c>
      <c r="L218" s="15">
        <f>Table24[[#This Row],[Revenue]]*(1-$Q$2)</f>
        <v>4221000</v>
      </c>
      <c r="M218" t="str">
        <f t="shared" si="3"/>
        <v>Late</v>
      </c>
    </row>
    <row r="219" spans="1:13" x14ac:dyDescent="0.35">
      <c r="A219" t="s">
        <v>214</v>
      </c>
      <c r="B219" t="s">
        <v>352</v>
      </c>
      <c r="C219" t="s">
        <v>582</v>
      </c>
      <c r="D219" s="2" t="s">
        <v>585</v>
      </c>
      <c r="E219" s="1" t="s">
        <v>596</v>
      </c>
      <c r="F219" s="3">
        <v>12</v>
      </c>
      <c r="G219" s="4">
        <v>120000</v>
      </c>
      <c r="H219" s="5">
        <v>80</v>
      </c>
      <c r="I219" s="6">
        <v>45743</v>
      </c>
      <c r="J219" s="2" t="s">
        <v>597</v>
      </c>
      <c r="K219" s="15">
        <f>PRODUCT(Table24[[#This Row],[Ticket Price]],Table24[[#This Row],[Passenger Count]])</f>
        <v>9600000</v>
      </c>
      <c r="L219" s="15">
        <f>Table24[[#This Row],[Revenue]]*(1-$Q$2)</f>
        <v>8640000</v>
      </c>
      <c r="M219" t="str">
        <f t="shared" si="3"/>
        <v>Slight Delay</v>
      </c>
    </row>
    <row r="220" spans="1:13" x14ac:dyDescent="0.35">
      <c r="A220" t="s">
        <v>215</v>
      </c>
      <c r="B220" t="s">
        <v>511</v>
      </c>
      <c r="C220" t="s">
        <v>588</v>
      </c>
      <c r="D220" s="2" t="s">
        <v>589</v>
      </c>
      <c r="E220" s="1" t="s">
        <v>594</v>
      </c>
      <c r="F220" s="3">
        <v>86</v>
      </c>
      <c r="G220" s="4">
        <v>95000</v>
      </c>
      <c r="H220" s="5">
        <v>170</v>
      </c>
      <c r="I220" s="6">
        <v>45747</v>
      </c>
      <c r="J220" s="2" t="s">
        <v>597</v>
      </c>
      <c r="K220" s="15">
        <f>PRODUCT(Table24[[#This Row],[Ticket Price]],Table24[[#This Row],[Passenger Count]])</f>
        <v>16150000</v>
      </c>
      <c r="L220" s="15">
        <f>Table24[[#This Row],[Revenue]]*(1-$Q$2)</f>
        <v>14535000</v>
      </c>
      <c r="M220" t="str">
        <f t="shared" si="3"/>
        <v>Late</v>
      </c>
    </row>
    <row r="221" spans="1:13" x14ac:dyDescent="0.35">
      <c r="A221" t="s">
        <v>216</v>
      </c>
      <c r="B221" t="s">
        <v>512</v>
      </c>
      <c r="C221" t="s">
        <v>582</v>
      </c>
      <c r="D221" s="2" t="s">
        <v>585</v>
      </c>
      <c r="E221" s="1" t="s">
        <v>596</v>
      </c>
      <c r="F221" s="3">
        <v>126</v>
      </c>
      <c r="G221" s="4">
        <v>105000</v>
      </c>
      <c r="H221" s="5">
        <v>140</v>
      </c>
      <c r="I221" s="6">
        <v>45798</v>
      </c>
      <c r="J221" s="2" t="s">
        <v>597</v>
      </c>
      <c r="K221" s="15">
        <f>PRODUCT(Table24[[#This Row],[Ticket Price]],Table24[[#This Row],[Passenger Count]])</f>
        <v>14700000</v>
      </c>
      <c r="L221" s="15">
        <f>Table24[[#This Row],[Revenue]]*(1-$Q$2)</f>
        <v>13230000</v>
      </c>
      <c r="M221" t="str">
        <f t="shared" si="3"/>
        <v>Late</v>
      </c>
    </row>
    <row r="222" spans="1:13" x14ac:dyDescent="0.35">
      <c r="A222" t="s">
        <v>217</v>
      </c>
      <c r="B222" t="s">
        <v>513</v>
      </c>
      <c r="C222" t="s">
        <v>587</v>
      </c>
      <c r="D222" s="2" t="s">
        <v>591</v>
      </c>
      <c r="E222" s="1" t="s">
        <v>592</v>
      </c>
      <c r="F222" s="3">
        <v>180</v>
      </c>
      <c r="G222" s="4">
        <v>110000</v>
      </c>
      <c r="H222" s="5">
        <v>153</v>
      </c>
      <c r="I222" s="6">
        <v>45740</v>
      </c>
      <c r="J222" s="2" t="s">
        <v>597</v>
      </c>
      <c r="K222" s="15">
        <f>PRODUCT(Table24[[#This Row],[Ticket Price]],Table24[[#This Row],[Passenger Count]])</f>
        <v>16830000</v>
      </c>
      <c r="L222" s="15">
        <f>Table24[[#This Row],[Revenue]]*(1-$Q$2)</f>
        <v>15147000</v>
      </c>
      <c r="M222" t="str">
        <f t="shared" si="3"/>
        <v>Late</v>
      </c>
    </row>
    <row r="223" spans="1:13" x14ac:dyDescent="0.35">
      <c r="A223" t="s">
        <v>218</v>
      </c>
      <c r="B223" t="s">
        <v>510</v>
      </c>
      <c r="C223" t="s">
        <v>582</v>
      </c>
      <c r="D223" s="2" t="s">
        <v>587</v>
      </c>
      <c r="E223" s="1" t="s">
        <v>593</v>
      </c>
      <c r="F223" s="3">
        <v>117</v>
      </c>
      <c r="G223" s="4">
        <v>90000</v>
      </c>
      <c r="H223" s="5">
        <v>71</v>
      </c>
      <c r="I223" s="6">
        <v>45781</v>
      </c>
      <c r="J223" s="2" t="s">
        <v>597</v>
      </c>
      <c r="K223" s="15">
        <f>PRODUCT(Table24[[#This Row],[Ticket Price]],Table24[[#This Row],[Passenger Count]])</f>
        <v>6390000</v>
      </c>
      <c r="L223" s="15">
        <f>Table24[[#This Row],[Revenue]]*(1-$Q$2)</f>
        <v>5751000</v>
      </c>
      <c r="M223" t="str">
        <f t="shared" si="3"/>
        <v>Late</v>
      </c>
    </row>
    <row r="224" spans="1:13" x14ac:dyDescent="0.35">
      <c r="A224" t="s">
        <v>219</v>
      </c>
      <c r="B224" t="s">
        <v>514</v>
      </c>
      <c r="C224" t="s">
        <v>588</v>
      </c>
      <c r="D224" s="2" t="s">
        <v>583</v>
      </c>
      <c r="E224" s="1" t="s">
        <v>594</v>
      </c>
      <c r="F224" s="3">
        <v>172</v>
      </c>
      <c r="G224" s="4">
        <v>50000</v>
      </c>
      <c r="H224" s="5">
        <v>149</v>
      </c>
      <c r="I224" s="6">
        <v>45827</v>
      </c>
      <c r="J224" s="2" t="s">
        <v>598</v>
      </c>
      <c r="K224" s="15">
        <f>PRODUCT(Table24[[#This Row],[Ticket Price]],Table24[[#This Row],[Passenger Count]])</f>
        <v>7450000</v>
      </c>
      <c r="L224" s="15">
        <f>Table24[[#This Row],[Revenue]]*(1-$Q$2)</f>
        <v>6705000</v>
      </c>
      <c r="M224" t="str">
        <f t="shared" si="3"/>
        <v>Late</v>
      </c>
    </row>
    <row r="225" spans="1:13" x14ac:dyDescent="0.35">
      <c r="A225" t="s">
        <v>220</v>
      </c>
      <c r="B225" t="s">
        <v>399</v>
      </c>
      <c r="C225" t="s">
        <v>588</v>
      </c>
      <c r="D225" s="2" t="s">
        <v>589</v>
      </c>
      <c r="E225" s="1" t="s">
        <v>596</v>
      </c>
      <c r="F225" s="3">
        <v>-3</v>
      </c>
      <c r="G225" s="4">
        <v>125000</v>
      </c>
      <c r="H225" s="5">
        <v>94</v>
      </c>
      <c r="I225" s="6">
        <v>45803</v>
      </c>
      <c r="J225" s="2" t="s">
        <v>597</v>
      </c>
      <c r="K225" s="15">
        <f>PRODUCT(Table24[[#This Row],[Ticket Price]],Table24[[#This Row],[Passenger Count]])</f>
        <v>11750000</v>
      </c>
      <c r="L225" s="15">
        <f>Table24[[#This Row],[Revenue]]*(1-$Q$2)</f>
        <v>10575000</v>
      </c>
      <c r="M225" t="str">
        <f t="shared" si="3"/>
        <v>On Time</v>
      </c>
    </row>
    <row r="226" spans="1:13" x14ac:dyDescent="0.35">
      <c r="A226" t="s">
        <v>221</v>
      </c>
      <c r="B226" t="s">
        <v>515</v>
      </c>
      <c r="C226" t="s">
        <v>581</v>
      </c>
      <c r="D226" s="2" t="s">
        <v>590</v>
      </c>
      <c r="E226" s="1" t="s">
        <v>595</v>
      </c>
      <c r="F226" s="3">
        <v>50</v>
      </c>
      <c r="G226" s="4">
        <v>105000</v>
      </c>
      <c r="H226" s="5">
        <v>87</v>
      </c>
      <c r="I226" s="6">
        <v>45678</v>
      </c>
      <c r="J226" s="2" t="s">
        <v>598</v>
      </c>
      <c r="K226" s="15">
        <f>PRODUCT(Table24[[#This Row],[Ticket Price]],Table24[[#This Row],[Passenger Count]])</f>
        <v>9135000</v>
      </c>
      <c r="L226" s="15">
        <f>Table24[[#This Row],[Revenue]]*(1-$Q$2)</f>
        <v>8221500</v>
      </c>
      <c r="M226" t="str">
        <f t="shared" si="3"/>
        <v>Late</v>
      </c>
    </row>
    <row r="227" spans="1:13" x14ac:dyDescent="0.35">
      <c r="A227" t="s">
        <v>222</v>
      </c>
      <c r="B227" t="s">
        <v>516</v>
      </c>
      <c r="C227" t="s">
        <v>586</v>
      </c>
      <c r="D227" s="2" t="s">
        <v>591</v>
      </c>
      <c r="E227" s="1" t="s">
        <v>592</v>
      </c>
      <c r="F227" s="3">
        <v>-2</v>
      </c>
      <c r="G227" s="4">
        <v>90000</v>
      </c>
      <c r="H227" s="5">
        <v>130</v>
      </c>
      <c r="I227" s="6">
        <v>45688</v>
      </c>
      <c r="J227" s="2" t="s">
        <v>598</v>
      </c>
      <c r="K227" s="15">
        <f>PRODUCT(Table24[[#This Row],[Ticket Price]],Table24[[#This Row],[Passenger Count]])</f>
        <v>11700000</v>
      </c>
      <c r="L227" s="15">
        <f>Table24[[#This Row],[Revenue]]*(1-$Q$2)</f>
        <v>10530000</v>
      </c>
      <c r="M227" t="str">
        <f t="shared" si="3"/>
        <v>On Time</v>
      </c>
    </row>
    <row r="228" spans="1:13" x14ac:dyDescent="0.35">
      <c r="A228" t="s">
        <v>223</v>
      </c>
      <c r="B228" t="s">
        <v>432</v>
      </c>
      <c r="C228" t="s">
        <v>583</v>
      </c>
      <c r="D228" s="2" t="s">
        <v>590</v>
      </c>
      <c r="E228" s="1" t="s">
        <v>595</v>
      </c>
      <c r="F228" s="3">
        <v>147</v>
      </c>
      <c r="G228" s="4">
        <v>85000</v>
      </c>
      <c r="H228" s="5">
        <v>110</v>
      </c>
      <c r="I228" s="6">
        <v>45673</v>
      </c>
      <c r="J228" s="2" t="s">
        <v>598</v>
      </c>
      <c r="K228" s="15">
        <f>PRODUCT(Table24[[#This Row],[Ticket Price]],Table24[[#This Row],[Passenger Count]])</f>
        <v>9350000</v>
      </c>
      <c r="L228" s="15">
        <f>Table24[[#This Row],[Revenue]]*(1-$Q$2)</f>
        <v>8415000</v>
      </c>
      <c r="M228" t="str">
        <f t="shared" si="3"/>
        <v>Late</v>
      </c>
    </row>
    <row r="229" spans="1:13" x14ac:dyDescent="0.35">
      <c r="A229" t="s">
        <v>224</v>
      </c>
      <c r="B229" t="s">
        <v>425</v>
      </c>
      <c r="C229" t="s">
        <v>581</v>
      </c>
      <c r="D229" s="2" t="s">
        <v>583</v>
      </c>
      <c r="E229" s="1" t="s">
        <v>594</v>
      </c>
      <c r="F229" s="3">
        <v>76</v>
      </c>
      <c r="G229" s="4">
        <v>60000</v>
      </c>
      <c r="H229" s="5">
        <v>156</v>
      </c>
      <c r="I229" s="6">
        <v>45750</v>
      </c>
      <c r="J229" s="2" t="s">
        <v>597</v>
      </c>
      <c r="K229" s="15">
        <f>PRODUCT(Table24[[#This Row],[Ticket Price]],Table24[[#This Row],[Passenger Count]])</f>
        <v>9360000</v>
      </c>
      <c r="L229" s="15">
        <f>Table24[[#This Row],[Revenue]]*(1-$Q$2)</f>
        <v>8424000</v>
      </c>
      <c r="M229" t="str">
        <f t="shared" si="3"/>
        <v>Late</v>
      </c>
    </row>
    <row r="230" spans="1:13" x14ac:dyDescent="0.35">
      <c r="A230" t="s">
        <v>225</v>
      </c>
      <c r="B230" t="s">
        <v>439</v>
      </c>
      <c r="C230" t="s">
        <v>585</v>
      </c>
      <c r="D230" s="2" t="s">
        <v>589</v>
      </c>
      <c r="E230" s="1" t="s">
        <v>596</v>
      </c>
      <c r="F230" s="3">
        <v>118</v>
      </c>
      <c r="G230" s="4">
        <v>60000</v>
      </c>
      <c r="H230" s="5">
        <v>63</v>
      </c>
      <c r="I230" s="6">
        <v>45804</v>
      </c>
      <c r="J230" s="2" t="s">
        <v>598</v>
      </c>
      <c r="K230" s="15">
        <f>PRODUCT(Table24[[#This Row],[Ticket Price]],Table24[[#This Row],[Passenger Count]])</f>
        <v>3780000</v>
      </c>
      <c r="L230" s="15">
        <f>Table24[[#This Row],[Revenue]]*(1-$Q$2)</f>
        <v>3402000</v>
      </c>
      <c r="M230" t="str">
        <f t="shared" si="3"/>
        <v>Late</v>
      </c>
    </row>
    <row r="231" spans="1:13" x14ac:dyDescent="0.35">
      <c r="A231" t="s">
        <v>226</v>
      </c>
      <c r="B231" t="s">
        <v>517</v>
      </c>
      <c r="C231" t="s">
        <v>587</v>
      </c>
      <c r="D231" s="2" t="s">
        <v>591</v>
      </c>
      <c r="E231" s="1" t="s">
        <v>594</v>
      </c>
      <c r="F231" s="3">
        <v>132</v>
      </c>
      <c r="G231" s="4">
        <v>105000</v>
      </c>
      <c r="H231" s="5">
        <v>148</v>
      </c>
      <c r="I231" s="6">
        <v>45704</v>
      </c>
      <c r="J231" s="2" t="s">
        <v>598</v>
      </c>
      <c r="K231" s="15">
        <f>PRODUCT(Table24[[#This Row],[Ticket Price]],Table24[[#This Row],[Passenger Count]])</f>
        <v>15540000</v>
      </c>
      <c r="L231" s="15">
        <f>Table24[[#This Row],[Revenue]]*(1-$Q$2)</f>
        <v>13986000</v>
      </c>
      <c r="M231" t="str">
        <f t="shared" si="3"/>
        <v>Late</v>
      </c>
    </row>
    <row r="232" spans="1:13" x14ac:dyDescent="0.35">
      <c r="A232" t="s">
        <v>227</v>
      </c>
      <c r="B232" t="s">
        <v>436</v>
      </c>
      <c r="C232" t="s">
        <v>583</v>
      </c>
      <c r="D232" s="2" t="s">
        <v>587</v>
      </c>
      <c r="E232" s="1" t="s">
        <v>592</v>
      </c>
      <c r="F232" s="3">
        <v>86</v>
      </c>
      <c r="G232" s="4">
        <v>110000</v>
      </c>
      <c r="H232" s="5">
        <v>168</v>
      </c>
      <c r="I232" s="6">
        <v>45782</v>
      </c>
      <c r="J232" s="2" t="s">
        <v>597</v>
      </c>
      <c r="K232" s="15">
        <f>PRODUCT(Table24[[#This Row],[Ticket Price]],Table24[[#This Row],[Passenger Count]])</f>
        <v>18480000</v>
      </c>
      <c r="L232" s="15">
        <f>Table24[[#This Row],[Revenue]]*(1-$Q$2)</f>
        <v>16632000</v>
      </c>
      <c r="M232" t="str">
        <f t="shared" si="3"/>
        <v>Late</v>
      </c>
    </row>
    <row r="233" spans="1:13" x14ac:dyDescent="0.35">
      <c r="A233" t="s">
        <v>228</v>
      </c>
      <c r="B233" t="s">
        <v>518</v>
      </c>
      <c r="C233" t="s">
        <v>581</v>
      </c>
      <c r="D233" s="2" t="s">
        <v>591</v>
      </c>
      <c r="E233" s="1" t="s">
        <v>596</v>
      </c>
      <c r="F233" s="3">
        <v>107</v>
      </c>
      <c r="G233" s="4">
        <v>150000</v>
      </c>
      <c r="H233" s="5">
        <v>73</v>
      </c>
      <c r="I233" s="6">
        <v>45821</v>
      </c>
      <c r="J233" s="2" t="s">
        <v>597</v>
      </c>
      <c r="K233" s="15">
        <f>PRODUCT(Table24[[#This Row],[Ticket Price]],Table24[[#This Row],[Passenger Count]])</f>
        <v>10950000</v>
      </c>
      <c r="L233" s="15">
        <f>Table24[[#This Row],[Revenue]]*(1-$Q$2)</f>
        <v>9855000</v>
      </c>
      <c r="M233" t="str">
        <f t="shared" si="3"/>
        <v>Late</v>
      </c>
    </row>
    <row r="234" spans="1:13" x14ac:dyDescent="0.35">
      <c r="A234" t="s">
        <v>229</v>
      </c>
      <c r="B234" t="s">
        <v>444</v>
      </c>
      <c r="C234" t="s">
        <v>585</v>
      </c>
      <c r="D234" s="2" t="s">
        <v>590</v>
      </c>
      <c r="E234" s="1" t="s">
        <v>593</v>
      </c>
      <c r="F234" s="3">
        <v>153</v>
      </c>
      <c r="G234" s="4">
        <v>110000</v>
      </c>
      <c r="H234" s="5">
        <v>169</v>
      </c>
      <c r="I234" s="6">
        <v>45727</v>
      </c>
      <c r="J234" s="2" t="s">
        <v>598</v>
      </c>
      <c r="K234" s="15">
        <f>PRODUCT(Table24[[#This Row],[Ticket Price]],Table24[[#This Row],[Passenger Count]])</f>
        <v>18590000</v>
      </c>
      <c r="L234" s="15">
        <f>Table24[[#This Row],[Revenue]]*(1-$Q$2)</f>
        <v>16731000</v>
      </c>
      <c r="M234" t="str">
        <f t="shared" si="3"/>
        <v>Late</v>
      </c>
    </row>
    <row r="235" spans="1:13" x14ac:dyDescent="0.35">
      <c r="A235" t="s">
        <v>230</v>
      </c>
      <c r="B235" t="s">
        <v>386</v>
      </c>
      <c r="C235" t="s">
        <v>584</v>
      </c>
      <c r="D235" s="2" t="s">
        <v>590</v>
      </c>
      <c r="E235" s="1" t="s">
        <v>593</v>
      </c>
      <c r="F235" s="3">
        <v>33</v>
      </c>
      <c r="G235" s="4">
        <v>50000</v>
      </c>
      <c r="H235" s="5">
        <v>118</v>
      </c>
      <c r="I235" s="6">
        <v>45828</v>
      </c>
      <c r="J235" s="2" t="s">
        <v>597</v>
      </c>
      <c r="K235" s="15">
        <f>PRODUCT(Table24[[#This Row],[Ticket Price]],Table24[[#This Row],[Passenger Count]])</f>
        <v>5900000</v>
      </c>
      <c r="L235" s="15">
        <f>Table24[[#This Row],[Revenue]]*(1-$Q$2)</f>
        <v>5310000</v>
      </c>
      <c r="M235" t="str">
        <f t="shared" si="3"/>
        <v>Late</v>
      </c>
    </row>
    <row r="236" spans="1:13" x14ac:dyDescent="0.35">
      <c r="A236" t="s">
        <v>231</v>
      </c>
      <c r="B236" t="s">
        <v>519</v>
      </c>
      <c r="C236" t="s">
        <v>583</v>
      </c>
      <c r="D236" s="2" t="s">
        <v>590</v>
      </c>
      <c r="E236" s="1" t="s">
        <v>595</v>
      </c>
      <c r="F236" s="3">
        <v>180</v>
      </c>
      <c r="G236" s="4">
        <v>130000</v>
      </c>
      <c r="H236" s="5">
        <v>109</v>
      </c>
      <c r="I236" s="6">
        <v>45802</v>
      </c>
      <c r="J236" s="2" t="s">
        <v>597</v>
      </c>
      <c r="K236" s="15">
        <f>PRODUCT(Table24[[#This Row],[Ticket Price]],Table24[[#This Row],[Passenger Count]])</f>
        <v>14170000</v>
      </c>
      <c r="L236" s="15">
        <f>Table24[[#This Row],[Revenue]]*(1-$Q$2)</f>
        <v>12753000</v>
      </c>
      <c r="M236" t="str">
        <f t="shared" si="3"/>
        <v>Late</v>
      </c>
    </row>
    <row r="237" spans="1:13" x14ac:dyDescent="0.35">
      <c r="A237" t="s">
        <v>232</v>
      </c>
      <c r="B237" t="s">
        <v>520</v>
      </c>
      <c r="C237" t="s">
        <v>581</v>
      </c>
      <c r="D237" s="2" t="s">
        <v>583</v>
      </c>
      <c r="E237" s="1" t="s">
        <v>596</v>
      </c>
      <c r="F237" s="3">
        <v>25</v>
      </c>
      <c r="G237" s="4">
        <v>105000</v>
      </c>
      <c r="H237" s="5">
        <v>114</v>
      </c>
      <c r="I237" s="6">
        <v>45787</v>
      </c>
      <c r="J237" s="2" t="s">
        <v>598</v>
      </c>
      <c r="K237" s="15">
        <f>PRODUCT(Table24[[#This Row],[Ticket Price]],Table24[[#This Row],[Passenger Count]])</f>
        <v>11970000</v>
      </c>
      <c r="L237" s="15">
        <f>Table24[[#This Row],[Revenue]]*(1-$Q$2)</f>
        <v>10773000</v>
      </c>
      <c r="M237" t="str">
        <f t="shared" si="3"/>
        <v>Slight Delay</v>
      </c>
    </row>
    <row r="238" spans="1:13" x14ac:dyDescent="0.35">
      <c r="A238" t="s">
        <v>233</v>
      </c>
      <c r="B238" t="s">
        <v>521</v>
      </c>
      <c r="C238" t="s">
        <v>586</v>
      </c>
      <c r="D238" s="2" t="s">
        <v>582</v>
      </c>
      <c r="E238" s="1" t="s">
        <v>592</v>
      </c>
      <c r="F238" s="3">
        <v>-2</v>
      </c>
      <c r="G238" s="4">
        <v>85000</v>
      </c>
      <c r="H238" s="5">
        <v>71</v>
      </c>
      <c r="I238" s="6">
        <v>45687</v>
      </c>
      <c r="J238" s="2" t="s">
        <v>597</v>
      </c>
      <c r="K238" s="15">
        <f>PRODUCT(Table24[[#This Row],[Ticket Price]],Table24[[#This Row],[Passenger Count]])</f>
        <v>6035000</v>
      </c>
      <c r="L238" s="15">
        <f>Table24[[#This Row],[Revenue]]*(1-$Q$2)</f>
        <v>5431500</v>
      </c>
      <c r="M238" t="str">
        <f t="shared" si="3"/>
        <v>On Time</v>
      </c>
    </row>
    <row r="239" spans="1:13" x14ac:dyDescent="0.35">
      <c r="A239" t="s">
        <v>234</v>
      </c>
      <c r="B239" t="s">
        <v>522</v>
      </c>
      <c r="C239" t="s">
        <v>584</v>
      </c>
      <c r="D239" s="2" t="s">
        <v>587</v>
      </c>
      <c r="E239" s="1" t="s">
        <v>592</v>
      </c>
      <c r="F239" s="3">
        <v>112</v>
      </c>
      <c r="G239" s="4">
        <v>135000</v>
      </c>
      <c r="H239" s="5">
        <v>125</v>
      </c>
      <c r="I239" s="6">
        <v>45711</v>
      </c>
      <c r="J239" s="2" t="s">
        <v>598</v>
      </c>
      <c r="K239" s="15">
        <f>PRODUCT(Table24[[#This Row],[Ticket Price]],Table24[[#This Row],[Passenger Count]])</f>
        <v>16875000</v>
      </c>
      <c r="L239" s="15">
        <f>Table24[[#This Row],[Revenue]]*(1-$Q$2)</f>
        <v>15187500</v>
      </c>
      <c r="M239" t="str">
        <f t="shared" si="3"/>
        <v>Late</v>
      </c>
    </row>
    <row r="240" spans="1:13" x14ac:dyDescent="0.35">
      <c r="A240" t="s">
        <v>235</v>
      </c>
      <c r="B240" t="s">
        <v>523</v>
      </c>
      <c r="C240" t="s">
        <v>582</v>
      </c>
      <c r="D240" s="2" t="s">
        <v>591</v>
      </c>
      <c r="E240" s="1" t="s">
        <v>594</v>
      </c>
      <c r="F240" s="3">
        <v>33</v>
      </c>
      <c r="G240" s="4">
        <v>120000</v>
      </c>
      <c r="H240" s="5">
        <v>70</v>
      </c>
      <c r="I240" s="6">
        <v>45763</v>
      </c>
      <c r="J240" s="2" t="s">
        <v>597</v>
      </c>
      <c r="K240" s="15">
        <f>PRODUCT(Table24[[#This Row],[Ticket Price]],Table24[[#This Row],[Passenger Count]])</f>
        <v>8400000</v>
      </c>
      <c r="L240" s="15">
        <f>Table24[[#This Row],[Revenue]]*(1-$Q$2)</f>
        <v>7560000</v>
      </c>
      <c r="M240" t="str">
        <f t="shared" si="3"/>
        <v>Late</v>
      </c>
    </row>
    <row r="241" spans="1:13" x14ac:dyDescent="0.35">
      <c r="A241" t="s">
        <v>236</v>
      </c>
      <c r="B241" t="s">
        <v>524</v>
      </c>
      <c r="C241" t="s">
        <v>584</v>
      </c>
      <c r="D241" s="2" t="s">
        <v>590</v>
      </c>
      <c r="E241" s="1" t="s">
        <v>596</v>
      </c>
      <c r="F241" s="3">
        <v>10</v>
      </c>
      <c r="G241" s="4">
        <v>45000</v>
      </c>
      <c r="H241" s="5">
        <v>152</v>
      </c>
      <c r="I241" s="6">
        <v>45768</v>
      </c>
      <c r="J241" s="2" t="s">
        <v>598</v>
      </c>
      <c r="K241" s="15">
        <f>PRODUCT(Table24[[#This Row],[Ticket Price]],Table24[[#This Row],[Passenger Count]])</f>
        <v>6840000</v>
      </c>
      <c r="L241" s="15">
        <f>Table24[[#This Row],[Revenue]]*(1-$Q$2)</f>
        <v>6156000</v>
      </c>
      <c r="M241" t="str">
        <f t="shared" si="3"/>
        <v>On Time</v>
      </c>
    </row>
    <row r="242" spans="1:13" x14ac:dyDescent="0.35">
      <c r="A242" t="s">
        <v>237</v>
      </c>
      <c r="B242" t="s">
        <v>418</v>
      </c>
      <c r="C242" t="s">
        <v>583</v>
      </c>
      <c r="D242" s="2" t="s">
        <v>587</v>
      </c>
      <c r="E242" s="1" t="s">
        <v>595</v>
      </c>
      <c r="F242" s="3">
        <v>146</v>
      </c>
      <c r="G242" s="4">
        <v>140000</v>
      </c>
      <c r="H242" s="5">
        <v>136</v>
      </c>
      <c r="I242" s="6">
        <v>45824</v>
      </c>
      <c r="J242" s="2" t="s">
        <v>597</v>
      </c>
      <c r="K242" s="15">
        <f>PRODUCT(Table24[[#This Row],[Ticket Price]],Table24[[#This Row],[Passenger Count]])</f>
        <v>19040000</v>
      </c>
      <c r="L242" s="15">
        <f>Table24[[#This Row],[Revenue]]*(1-$Q$2)</f>
        <v>17136000</v>
      </c>
      <c r="M242" t="str">
        <f t="shared" si="3"/>
        <v>Late</v>
      </c>
    </row>
    <row r="243" spans="1:13" x14ac:dyDescent="0.35">
      <c r="A243" t="s">
        <v>238</v>
      </c>
      <c r="B243" t="s">
        <v>525</v>
      </c>
      <c r="C243" t="s">
        <v>582</v>
      </c>
      <c r="D243" s="2" t="s">
        <v>585</v>
      </c>
      <c r="E243" s="1" t="s">
        <v>593</v>
      </c>
      <c r="F243" s="3">
        <v>122</v>
      </c>
      <c r="G243" s="4">
        <v>140000</v>
      </c>
      <c r="H243" s="5">
        <v>102</v>
      </c>
      <c r="I243" s="6">
        <v>45777</v>
      </c>
      <c r="J243" s="2" t="s">
        <v>597</v>
      </c>
      <c r="K243" s="15">
        <f>PRODUCT(Table24[[#This Row],[Ticket Price]],Table24[[#This Row],[Passenger Count]])</f>
        <v>14280000</v>
      </c>
      <c r="L243" s="15">
        <f>Table24[[#This Row],[Revenue]]*(1-$Q$2)</f>
        <v>12852000</v>
      </c>
      <c r="M243" t="str">
        <f t="shared" si="3"/>
        <v>Late</v>
      </c>
    </row>
    <row r="244" spans="1:13" x14ac:dyDescent="0.35">
      <c r="A244" t="s">
        <v>239</v>
      </c>
      <c r="B244" t="s">
        <v>526</v>
      </c>
      <c r="C244" t="s">
        <v>588</v>
      </c>
      <c r="D244" s="2" t="s">
        <v>584</v>
      </c>
      <c r="E244" s="1" t="s">
        <v>596</v>
      </c>
      <c r="F244" s="3">
        <v>105</v>
      </c>
      <c r="G244" s="4">
        <v>30000</v>
      </c>
      <c r="H244" s="5">
        <v>92</v>
      </c>
      <c r="I244" s="6">
        <v>45788</v>
      </c>
      <c r="J244" s="2" t="s">
        <v>597</v>
      </c>
      <c r="K244" s="15">
        <f>PRODUCT(Table24[[#This Row],[Ticket Price]],Table24[[#This Row],[Passenger Count]])</f>
        <v>2760000</v>
      </c>
      <c r="L244" s="15">
        <f>Table24[[#This Row],[Revenue]]*(1-$Q$2)</f>
        <v>2484000</v>
      </c>
      <c r="M244" t="str">
        <f t="shared" si="3"/>
        <v>Late</v>
      </c>
    </row>
    <row r="245" spans="1:13" x14ac:dyDescent="0.35">
      <c r="A245" t="s">
        <v>240</v>
      </c>
      <c r="B245" t="s">
        <v>527</v>
      </c>
      <c r="C245" t="s">
        <v>588</v>
      </c>
      <c r="D245" s="2" t="s">
        <v>591</v>
      </c>
      <c r="E245" s="1" t="s">
        <v>593</v>
      </c>
      <c r="F245" s="3">
        <v>60</v>
      </c>
      <c r="G245" s="4">
        <v>30000</v>
      </c>
      <c r="H245" s="5">
        <v>77</v>
      </c>
      <c r="I245" s="6">
        <v>45826</v>
      </c>
      <c r="J245" s="2" t="s">
        <v>597</v>
      </c>
      <c r="K245" s="15">
        <f>PRODUCT(Table24[[#This Row],[Ticket Price]],Table24[[#This Row],[Passenger Count]])</f>
        <v>2310000</v>
      </c>
      <c r="L245" s="15">
        <f>Table24[[#This Row],[Revenue]]*(1-$Q$2)</f>
        <v>2079000</v>
      </c>
      <c r="M245" t="str">
        <f t="shared" si="3"/>
        <v>Late</v>
      </c>
    </row>
    <row r="246" spans="1:13" x14ac:dyDescent="0.35">
      <c r="A246" t="s">
        <v>241</v>
      </c>
      <c r="B246" t="s">
        <v>528</v>
      </c>
      <c r="C246" t="s">
        <v>585</v>
      </c>
      <c r="D246" s="2" t="s">
        <v>590</v>
      </c>
      <c r="E246" s="1" t="s">
        <v>596</v>
      </c>
      <c r="F246" s="3">
        <v>84</v>
      </c>
      <c r="G246" s="4">
        <v>115000</v>
      </c>
      <c r="H246" s="5">
        <v>101</v>
      </c>
      <c r="I246" s="6">
        <v>45746</v>
      </c>
      <c r="J246" s="2" t="s">
        <v>597</v>
      </c>
      <c r="K246" s="15">
        <f>PRODUCT(Table24[[#This Row],[Ticket Price]],Table24[[#This Row],[Passenger Count]])</f>
        <v>11615000</v>
      </c>
      <c r="L246" s="15">
        <f>Table24[[#This Row],[Revenue]]*(1-$Q$2)</f>
        <v>10453500</v>
      </c>
      <c r="M246" t="str">
        <f t="shared" si="3"/>
        <v>Late</v>
      </c>
    </row>
    <row r="247" spans="1:13" x14ac:dyDescent="0.35">
      <c r="A247" t="s">
        <v>242</v>
      </c>
      <c r="B247" t="s">
        <v>521</v>
      </c>
      <c r="C247" t="s">
        <v>582</v>
      </c>
      <c r="D247" s="2" t="s">
        <v>583</v>
      </c>
      <c r="E247" s="1" t="s">
        <v>594</v>
      </c>
      <c r="F247" s="3">
        <v>27</v>
      </c>
      <c r="G247" s="4">
        <v>45000</v>
      </c>
      <c r="H247" s="5">
        <v>162</v>
      </c>
      <c r="I247" s="6">
        <v>45742</v>
      </c>
      <c r="J247" s="2" t="s">
        <v>598</v>
      </c>
      <c r="K247" s="15">
        <f>PRODUCT(Table24[[#This Row],[Ticket Price]],Table24[[#This Row],[Passenger Count]])</f>
        <v>7290000</v>
      </c>
      <c r="L247" s="15">
        <f>Table24[[#This Row],[Revenue]]*(1-$Q$2)</f>
        <v>6561000</v>
      </c>
      <c r="M247" t="str">
        <f t="shared" si="3"/>
        <v>Slight Delay</v>
      </c>
    </row>
    <row r="248" spans="1:13" x14ac:dyDescent="0.35">
      <c r="A248" t="s">
        <v>243</v>
      </c>
      <c r="B248" t="s">
        <v>457</v>
      </c>
      <c r="C248" t="s">
        <v>581</v>
      </c>
      <c r="D248" s="2" t="s">
        <v>590</v>
      </c>
      <c r="E248" s="1" t="s">
        <v>595</v>
      </c>
      <c r="F248" s="3">
        <v>5</v>
      </c>
      <c r="G248" s="4">
        <v>140000</v>
      </c>
      <c r="H248" s="5">
        <v>91</v>
      </c>
      <c r="I248" s="6">
        <v>45735</v>
      </c>
      <c r="J248" s="2" t="s">
        <v>597</v>
      </c>
      <c r="K248" s="15">
        <f>PRODUCT(Table24[[#This Row],[Ticket Price]],Table24[[#This Row],[Passenger Count]])</f>
        <v>12740000</v>
      </c>
      <c r="L248" s="15">
        <f>Table24[[#This Row],[Revenue]]*(1-$Q$2)</f>
        <v>11466000</v>
      </c>
      <c r="M248" t="str">
        <f t="shared" si="3"/>
        <v>On Time</v>
      </c>
    </row>
    <row r="249" spans="1:13" x14ac:dyDescent="0.35">
      <c r="A249" t="s">
        <v>244</v>
      </c>
      <c r="B249" t="s">
        <v>529</v>
      </c>
      <c r="C249" t="s">
        <v>588</v>
      </c>
      <c r="D249" s="2" t="s">
        <v>589</v>
      </c>
      <c r="E249" s="1" t="s">
        <v>595</v>
      </c>
      <c r="F249" s="3">
        <v>111</v>
      </c>
      <c r="G249" s="4">
        <v>65000</v>
      </c>
      <c r="H249" s="5">
        <v>139</v>
      </c>
      <c r="I249" s="6">
        <v>45777</v>
      </c>
      <c r="J249" s="2" t="s">
        <v>597</v>
      </c>
      <c r="K249" s="15">
        <f>PRODUCT(Table24[[#This Row],[Ticket Price]],Table24[[#This Row],[Passenger Count]])</f>
        <v>9035000</v>
      </c>
      <c r="L249" s="15">
        <f>Table24[[#This Row],[Revenue]]*(1-$Q$2)</f>
        <v>8131500</v>
      </c>
      <c r="M249" t="str">
        <f t="shared" si="3"/>
        <v>Late</v>
      </c>
    </row>
    <row r="250" spans="1:13" x14ac:dyDescent="0.35">
      <c r="A250" t="s">
        <v>245</v>
      </c>
      <c r="B250" t="s">
        <v>446</v>
      </c>
      <c r="C250" t="s">
        <v>582</v>
      </c>
      <c r="D250" s="2" t="s">
        <v>584</v>
      </c>
      <c r="E250" s="1" t="s">
        <v>596</v>
      </c>
      <c r="F250" s="3">
        <v>112</v>
      </c>
      <c r="G250" s="4">
        <v>125000</v>
      </c>
      <c r="H250" s="5">
        <v>179</v>
      </c>
      <c r="I250" s="6">
        <v>45723</v>
      </c>
      <c r="J250" s="2" t="s">
        <v>597</v>
      </c>
      <c r="K250" s="15">
        <f>PRODUCT(Table24[[#This Row],[Ticket Price]],Table24[[#This Row],[Passenger Count]])</f>
        <v>22375000</v>
      </c>
      <c r="L250" s="15">
        <f>Table24[[#This Row],[Revenue]]*(1-$Q$2)</f>
        <v>20137500</v>
      </c>
      <c r="M250" t="str">
        <f t="shared" si="3"/>
        <v>Late</v>
      </c>
    </row>
    <row r="251" spans="1:13" x14ac:dyDescent="0.35">
      <c r="A251" t="s">
        <v>246</v>
      </c>
      <c r="B251" t="s">
        <v>410</v>
      </c>
      <c r="C251" t="s">
        <v>581</v>
      </c>
      <c r="D251" s="2" t="s">
        <v>590</v>
      </c>
      <c r="E251" s="1" t="s">
        <v>595</v>
      </c>
      <c r="F251" s="3">
        <v>121</v>
      </c>
      <c r="G251" s="4">
        <v>70000</v>
      </c>
      <c r="H251" s="5">
        <v>134</v>
      </c>
      <c r="I251" s="6">
        <v>45698</v>
      </c>
      <c r="J251" s="2" t="s">
        <v>598</v>
      </c>
      <c r="K251" s="15">
        <f>PRODUCT(Table24[[#This Row],[Ticket Price]],Table24[[#This Row],[Passenger Count]])</f>
        <v>9380000</v>
      </c>
      <c r="L251" s="15">
        <f>Table24[[#This Row],[Revenue]]*(1-$Q$2)</f>
        <v>8442000</v>
      </c>
      <c r="M251" t="str">
        <f t="shared" si="3"/>
        <v>Late</v>
      </c>
    </row>
    <row r="252" spans="1:13" x14ac:dyDescent="0.35">
      <c r="A252" t="s">
        <v>247</v>
      </c>
      <c r="B252" t="s">
        <v>530</v>
      </c>
      <c r="C252" t="s">
        <v>588</v>
      </c>
      <c r="D252" s="2" t="s">
        <v>584</v>
      </c>
      <c r="E252" s="1" t="s">
        <v>595</v>
      </c>
      <c r="F252" s="3">
        <v>176</v>
      </c>
      <c r="G252" s="4">
        <v>65000</v>
      </c>
      <c r="H252" s="5">
        <v>149</v>
      </c>
      <c r="I252" s="6">
        <v>45715</v>
      </c>
      <c r="J252" s="2" t="s">
        <v>597</v>
      </c>
      <c r="K252" s="15">
        <f>PRODUCT(Table24[[#This Row],[Ticket Price]],Table24[[#This Row],[Passenger Count]])</f>
        <v>9685000</v>
      </c>
      <c r="L252" s="15">
        <f>Table24[[#This Row],[Revenue]]*(1-$Q$2)</f>
        <v>8716500</v>
      </c>
      <c r="M252" t="str">
        <f t="shared" si="3"/>
        <v>Late</v>
      </c>
    </row>
    <row r="253" spans="1:13" x14ac:dyDescent="0.35">
      <c r="A253" t="s">
        <v>248</v>
      </c>
      <c r="B253" t="s">
        <v>459</v>
      </c>
      <c r="C253" t="s">
        <v>585</v>
      </c>
      <c r="D253" s="2" t="s">
        <v>589</v>
      </c>
      <c r="E253" s="1" t="s">
        <v>596</v>
      </c>
      <c r="F253" s="3">
        <v>46</v>
      </c>
      <c r="G253" s="4">
        <v>145000</v>
      </c>
      <c r="H253" s="5">
        <v>86</v>
      </c>
      <c r="I253" s="6">
        <v>45804</v>
      </c>
      <c r="J253" s="2" t="s">
        <v>598</v>
      </c>
      <c r="K253" s="15">
        <f>PRODUCT(Table24[[#This Row],[Ticket Price]],Table24[[#This Row],[Passenger Count]])</f>
        <v>12470000</v>
      </c>
      <c r="L253" s="15">
        <f>Table24[[#This Row],[Revenue]]*(1-$Q$2)</f>
        <v>11223000</v>
      </c>
      <c r="M253" t="str">
        <f t="shared" si="3"/>
        <v>Late</v>
      </c>
    </row>
    <row r="254" spans="1:13" x14ac:dyDescent="0.35">
      <c r="A254" t="s">
        <v>249</v>
      </c>
      <c r="B254" t="s">
        <v>531</v>
      </c>
      <c r="C254" t="s">
        <v>586</v>
      </c>
      <c r="D254" s="2" t="s">
        <v>585</v>
      </c>
      <c r="E254" s="1" t="s">
        <v>594</v>
      </c>
      <c r="F254" s="3">
        <v>141</v>
      </c>
      <c r="G254" s="4">
        <v>75000</v>
      </c>
      <c r="H254" s="5">
        <v>83</v>
      </c>
      <c r="I254" s="6">
        <v>45738</v>
      </c>
      <c r="J254" s="2" t="s">
        <v>597</v>
      </c>
      <c r="K254" s="15">
        <f>PRODUCT(Table24[[#This Row],[Ticket Price]],Table24[[#This Row],[Passenger Count]])</f>
        <v>6225000</v>
      </c>
      <c r="L254" s="15">
        <f>Table24[[#This Row],[Revenue]]*(1-$Q$2)</f>
        <v>5602500</v>
      </c>
      <c r="M254" t="str">
        <f t="shared" si="3"/>
        <v>Late</v>
      </c>
    </row>
    <row r="255" spans="1:13" x14ac:dyDescent="0.35">
      <c r="A255" t="s">
        <v>250</v>
      </c>
      <c r="B255" t="s">
        <v>442</v>
      </c>
      <c r="C255" t="s">
        <v>586</v>
      </c>
      <c r="D255" s="2" t="s">
        <v>589</v>
      </c>
      <c r="E255" s="1" t="s">
        <v>594</v>
      </c>
      <c r="F255" s="3">
        <v>118</v>
      </c>
      <c r="G255" s="4">
        <v>75000</v>
      </c>
      <c r="H255" s="5">
        <v>75</v>
      </c>
      <c r="I255" s="6">
        <v>45683</v>
      </c>
      <c r="J255" s="2" t="s">
        <v>598</v>
      </c>
      <c r="K255" s="15">
        <f>PRODUCT(Table24[[#This Row],[Ticket Price]],Table24[[#This Row],[Passenger Count]])</f>
        <v>5625000</v>
      </c>
      <c r="L255" s="15">
        <f>Table24[[#This Row],[Revenue]]*(1-$Q$2)</f>
        <v>5062500</v>
      </c>
      <c r="M255" t="str">
        <f t="shared" si="3"/>
        <v>Late</v>
      </c>
    </row>
    <row r="256" spans="1:13" x14ac:dyDescent="0.35">
      <c r="A256" t="s">
        <v>251</v>
      </c>
      <c r="B256" t="s">
        <v>488</v>
      </c>
      <c r="C256" t="s">
        <v>587</v>
      </c>
      <c r="D256" s="2" t="s">
        <v>591</v>
      </c>
      <c r="E256" s="1" t="s">
        <v>592</v>
      </c>
      <c r="F256" s="3">
        <v>69</v>
      </c>
      <c r="G256" s="4">
        <v>95000</v>
      </c>
      <c r="H256" s="5">
        <v>62</v>
      </c>
      <c r="I256" s="6">
        <v>45670</v>
      </c>
      <c r="J256" s="2" t="s">
        <v>597</v>
      </c>
      <c r="K256" s="15">
        <f>PRODUCT(Table24[[#This Row],[Ticket Price]],Table24[[#This Row],[Passenger Count]])</f>
        <v>5890000</v>
      </c>
      <c r="L256" s="15">
        <f>Table24[[#This Row],[Revenue]]*(1-$Q$2)</f>
        <v>5301000</v>
      </c>
      <c r="M256" t="str">
        <f t="shared" si="3"/>
        <v>Late</v>
      </c>
    </row>
    <row r="257" spans="1:13" x14ac:dyDescent="0.35">
      <c r="A257" t="s">
        <v>252</v>
      </c>
      <c r="B257" t="s">
        <v>381</v>
      </c>
      <c r="C257" t="s">
        <v>588</v>
      </c>
      <c r="D257" s="2" t="s">
        <v>587</v>
      </c>
      <c r="E257" s="1" t="s">
        <v>594</v>
      </c>
      <c r="F257" s="3">
        <v>108</v>
      </c>
      <c r="G257" s="4">
        <v>80000</v>
      </c>
      <c r="H257" s="5">
        <v>92</v>
      </c>
      <c r="I257" s="6">
        <v>45795</v>
      </c>
      <c r="J257" s="2" t="s">
        <v>598</v>
      </c>
      <c r="K257" s="15">
        <f>PRODUCT(Table24[[#This Row],[Ticket Price]],Table24[[#This Row],[Passenger Count]])</f>
        <v>7360000</v>
      </c>
      <c r="L257" s="15">
        <f>Table24[[#This Row],[Revenue]]*(1-$Q$2)</f>
        <v>6624000</v>
      </c>
      <c r="M257" t="str">
        <f t="shared" si="3"/>
        <v>Late</v>
      </c>
    </row>
    <row r="258" spans="1:13" x14ac:dyDescent="0.35">
      <c r="A258" t="s">
        <v>253</v>
      </c>
      <c r="B258" t="s">
        <v>532</v>
      </c>
      <c r="C258" t="s">
        <v>585</v>
      </c>
      <c r="D258" s="2" t="s">
        <v>583</v>
      </c>
      <c r="E258" s="1" t="s">
        <v>594</v>
      </c>
      <c r="F258" s="3">
        <v>24</v>
      </c>
      <c r="G258" s="4">
        <v>130000</v>
      </c>
      <c r="H258" s="5">
        <v>153</v>
      </c>
      <c r="I258" s="6">
        <v>45681</v>
      </c>
      <c r="J258" s="2" t="s">
        <v>598</v>
      </c>
      <c r="K258" s="15">
        <f>PRODUCT(Table24[[#This Row],[Ticket Price]],Table24[[#This Row],[Passenger Count]])</f>
        <v>19890000</v>
      </c>
      <c r="L258" s="15">
        <f>Table24[[#This Row],[Revenue]]*(1-$Q$2)</f>
        <v>17901000</v>
      </c>
      <c r="M258" t="str">
        <f t="shared" ref="M258:M321" si="4">IF(F258&lt;=10,"On Time",IF(F258&lt;=30,"Slight Delay","Late"))</f>
        <v>Slight Delay</v>
      </c>
    </row>
    <row r="259" spans="1:13" x14ac:dyDescent="0.35">
      <c r="A259" t="s">
        <v>254</v>
      </c>
      <c r="B259" t="s">
        <v>533</v>
      </c>
      <c r="C259" t="s">
        <v>582</v>
      </c>
      <c r="D259" s="2" t="s">
        <v>590</v>
      </c>
      <c r="E259" s="1" t="s">
        <v>594</v>
      </c>
      <c r="F259" s="3">
        <v>126</v>
      </c>
      <c r="G259" s="4">
        <v>95000</v>
      </c>
      <c r="H259" s="5">
        <v>150</v>
      </c>
      <c r="I259" s="6">
        <v>45836</v>
      </c>
      <c r="J259" s="2" t="s">
        <v>598</v>
      </c>
      <c r="K259" s="15">
        <f>PRODUCT(Table24[[#This Row],[Ticket Price]],Table24[[#This Row],[Passenger Count]])</f>
        <v>14250000</v>
      </c>
      <c r="L259" s="15">
        <f>Table24[[#This Row],[Revenue]]*(1-$Q$2)</f>
        <v>12825000</v>
      </c>
      <c r="M259" t="str">
        <f t="shared" si="4"/>
        <v>Late</v>
      </c>
    </row>
    <row r="260" spans="1:13" x14ac:dyDescent="0.35">
      <c r="A260" t="s">
        <v>255</v>
      </c>
      <c r="B260" t="s">
        <v>433</v>
      </c>
      <c r="C260" t="s">
        <v>585</v>
      </c>
      <c r="D260" s="2" t="s">
        <v>591</v>
      </c>
      <c r="E260" s="1" t="s">
        <v>592</v>
      </c>
      <c r="F260" s="3">
        <v>150</v>
      </c>
      <c r="G260" s="4">
        <v>70000</v>
      </c>
      <c r="H260" s="5">
        <v>109</v>
      </c>
      <c r="I260" s="6">
        <v>45784</v>
      </c>
      <c r="J260" s="2" t="s">
        <v>597</v>
      </c>
      <c r="K260" s="15">
        <f>PRODUCT(Table24[[#This Row],[Ticket Price]],Table24[[#This Row],[Passenger Count]])</f>
        <v>7630000</v>
      </c>
      <c r="L260" s="15">
        <f>Table24[[#This Row],[Revenue]]*(1-$Q$2)</f>
        <v>6867000</v>
      </c>
      <c r="M260" t="str">
        <f t="shared" si="4"/>
        <v>Late</v>
      </c>
    </row>
    <row r="261" spans="1:13" x14ac:dyDescent="0.35">
      <c r="A261" t="s">
        <v>256</v>
      </c>
      <c r="B261" t="s">
        <v>534</v>
      </c>
      <c r="C261" t="s">
        <v>586</v>
      </c>
      <c r="D261" s="2" t="s">
        <v>587</v>
      </c>
      <c r="E261" s="1" t="s">
        <v>594</v>
      </c>
      <c r="F261" s="3">
        <v>180</v>
      </c>
      <c r="G261" s="4">
        <v>110000</v>
      </c>
      <c r="H261" s="5">
        <v>90</v>
      </c>
      <c r="I261" s="6">
        <v>45760</v>
      </c>
      <c r="J261" s="2" t="s">
        <v>597</v>
      </c>
      <c r="K261" s="15">
        <f>PRODUCT(Table24[[#This Row],[Ticket Price]],Table24[[#This Row],[Passenger Count]])</f>
        <v>9900000</v>
      </c>
      <c r="L261" s="15">
        <f>Table24[[#This Row],[Revenue]]*(1-$Q$2)</f>
        <v>8910000</v>
      </c>
      <c r="M261" t="str">
        <f t="shared" si="4"/>
        <v>Late</v>
      </c>
    </row>
    <row r="262" spans="1:13" x14ac:dyDescent="0.35">
      <c r="A262" t="s">
        <v>257</v>
      </c>
      <c r="B262" t="s">
        <v>535</v>
      </c>
      <c r="C262" t="s">
        <v>584</v>
      </c>
      <c r="D262" s="2" t="s">
        <v>590</v>
      </c>
      <c r="E262" s="1" t="s">
        <v>596</v>
      </c>
      <c r="F262" s="3">
        <v>38</v>
      </c>
      <c r="G262" s="4">
        <v>35000</v>
      </c>
      <c r="H262" s="5">
        <v>127</v>
      </c>
      <c r="I262" s="6">
        <v>45711</v>
      </c>
      <c r="J262" s="2" t="s">
        <v>598</v>
      </c>
      <c r="K262" s="15">
        <f>PRODUCT(Table24[[#This Row],[Ticket Price]],Table24[[#This Row],[Passenger Count]])</f>
        <v>4445000</v>
      </c>
      <c r="L262" s="15">
        <f>Table24[[#This Row],[Revenue]]*(1-$Q$2)</f>
        <v>4000500</v>
      </c>
      <c r="M262" t="str">
        <f t="shared" si="4"/>
        <v>Late</v>
      </c>
    </row>
    <row r="263" spans="1:13" x14ac:dyDescent="0.35">
      <c r="A263" t="s">
        <v>258</v>
      </c>
      <c r="B263" t="s">
        <v>536</v>
      </c>
      <c r="C263" t="s">
        <v>584</v>
      </c>
      <c r="D263" s="2" t="s">
        <v>591</v>
      </c>
      <c r="E263" s="1" t="s">
        <v>596</v>
      </c>
      <c r="F263" s="3">
        <v>86</v>
      </c>
      <c r="G263" s="4">
        <v>90000</v>
      </c>
      <c r="H263" s="5">
        <v>155</v>
      </c>
      <c r="I263" s="6">
        <v>45684</v>
      </c>
      <c r="J263" s="2" t="s">
        <v>597</v>
      </c>
      <c r="K263" s="15">
        <f>PRODUCT(Table24[[#This Row],[Ticket Price]],Table24[[#This Row],[Passenger Count]])</f>
        <v>13950000</v>
      </c>
      <c r="L263" s="15">
        <f>Table24[[#This Row],[Revenue]]*(1-$Q$2)</f>
        <v>12555000</v>
      </c>
      <c r="M263" t="str">
        <f t="shared" si="4"/>
        <v>Late</v>
      </c>
    </row>
    <row r="264" spans="1:13" x14ac:dyDescent="0.35">
      <c r="A264" t="s">
        <v>259</v>
      </c>
      <c r="B264" t="s">
        <v>508</v>
      </c>
      <c r="C264" t="s">
        <v>588</v>
      </c>
      <c r="D264" s="2" t="s">
        <v>583</v>
      </c>
      <c r="E264" s="1" t="s">
        <v>595</v>
      </c>
      <c r="F264" s="3">
        <v>13</v>
      </c>
      <c r="G264" s="4">
        <v>115000</v>
      </c>
      <c r="H264" s="5">
        <v>161</v>
      </c>
      <c r="I264" s="6">
        <v>45760</v>
      </c>
      <c r="J264" s="2" t="s">
        <v>597</v>
      </c>
      <c r="K264" s="15">
        <f>PRODUCT(Table24[[#This Row],[Ticket Price]],Table24[[#This Row],[Passenger Count]])</f>
        <v>18515000</v>
      </c>
      <c r="L264" s="15">
        <f>Table24[[#This Row],[Revenue]]*(1-$Q$2)</f>
        <v>16663500</v>
      </c>
      <c r="M264" t="str">
        <f t="shared" si="4"/>
        <v>Slight Delay</v>
      </c>
    </row>
    <row r="265" spans="1:13" x14ac:dyDescent="0.35">
      <c r="A265" t="s">
        <v>260</v>
      </c>
      <c r="B265" t="s">
        <v>347</v>
      </c>
      <c r="C265" t="s">
        <v>581</v>
      </c>
      <c r="D265" s="2" t="s">
        <v>590</v>
      </c>
      <c r="E265" s="1" t="s">
        <v>594</v>
      </c>
      <c r="F265" s="3">
        <v>130</v>
      </c>
      <c r="G265" s="4">
        <v>100000</v>
      </c>
      <c r="H265" s="5">
        <v>97</v>
      </c>
      <c r="I265" s="6">
        <v>45739</v>
      </c>
      <c r="J265" s="2" t="s">
        <v>597</v>
      </c>
      <c r="K265" s="15">
        <f>PRODUCT(Table24[[#This Row],[Ticket Price]],Table24[[#This Row],[Passenger Count]])</f>
        <v>9700000</v>
      </c>
      <c r="L265" s="15">
        <f>Table24[[#This Row],[Revenue]]*(1-$Q$2)</f>
        <v>8730000</v>
      </c>
      <c r="M265" t="str">
        <f t="shared" si="4"/>
        <v>Late</v>
      </c>
    </row>
    <row r="266" spans="1:13" x14ac:dyDescent="0.35">
      <c r="A266" t="s">
        <v>261</v>
      </c>
      <c r="B266" t="s">
        <v>537</v>
      </c>
      <c r="C266" t="s">
        <v>588</v>
      </c>
      <c r="D266" s="2" t="s">
        <v>587</v>
      </c>
      <c r="E266" s="1" t="s">
        <v>595</v>
      </c>
      <c r="F266" s="3">
        <v>22</v>
      </c>
      <c r="G266" s="4">
        <v>55000</v>
      </c>
      <c r="H266" s="5">
        <v>68</v>
      </c>
      <c r="I266" s="6">
        <v>45686</v>
      </c>
      <c r="J266" s="2" t="s">
        <v>597</v>
      </c>
      <c r="K266" s="15">
        <f>PRODUCT(Table24[[#This Row],[Ticket Price]],Table24[[#This Row],[Passenger Count]])</f>
        <v>3740000</v>
      </c>
      <c r="L266" s="15">
        <f>Table24[[#This Row],[Revenue]]*(1-$Q$2)</f>
        <v>3366000</v>
      </c>
      <c r="M266" t="str">
        <f t="shared" si="4"/>
        <v>Slight Delay</v>
      </c>
    </row>
    <row r="267" spans="1:13" x14ac:dyDescent="0.35">
      <c r="A267" t="s">
        <v>262</v>
      </c>
      <c r="B267" t="s">
        <v>538</v>
      </c>
      <c r="C267" t="s">
        <v>583</v>
      </c>
      <c r="D267" s="2" t="s">
        <v>589</v>
      </c>
      <c r="E267" s="1" t="s">
        <v>596</v>
      </c>
      <c r="F267" s="3">
        <v>148</v>
      </c>
      <c r="G267" s="4">
        <v>125000</v>
      </c>
      <c r="H267" s="5">
        <v>144</v>
      </c>
      <c r="I267" s="6">
        <v>45821</v>
      </c>
      <c r="J267" s="2" t="s">
        <v>598</v>
      </c>
      <c r="K267" s="15">
        <f>PRODUCT(Table24[[#This Row],[Ticket Price]],Table24[[#This Row],[Passenger Count]])</f>
        <v>18000000</v>
      </c>
      <c r="L267" s="15">
        <f>Table24[[#This Row],[Revenue]]*(1-$Q$2)</f>
        <v>16200000</v>
      </c>
      <c r="M267" t="str">
        <f t="shared" si="4"/>
        <v>Late</v>
      </c>
    </row>
    <row r="268" spans="1:13" x14ac:dyDescent="0.35">
      <c r="A268" t="s">
        <v>263</v>
      </c>
      <c r="B268" t="s">
        <v>539</v>
      </c>
      <c r="C268" t="s">
        <v>583</v>
      </c>
      <c r="D268" s="2" t="s">
        <v>589</v>
      </c>
      <c r="E268" s="1" t="s">
        <v>596</v>
      </c>
      <c r="F268" s="3">
        <v>142</v>
      </c>
      <c r="G268" s="4">
        <v>50000</v>
      </c>
      <c r="H268" s="5">
        <v>152</v>
      </c>
      <c r="I268" s="6">
        <v>45701</v>
      </c>
      <c r="J268" s="2" t="s">
        <v>597</v>
      </c>
      <c r="K268" s="15">
        <f>PRODUCT(Table24[[#This Row],[Ticket Price]],Table24[[#This Row],[Passenger Count]])</f>
        <v>7600000</v>
      </c>
      <c r="L268" s="15">
        <f>Table24[[#This Row],[Revenue]]*(1-$Q$2)</f>
        <v>6840000</v>
      </c>
      <c r="M268" t="str">
        <f t="shared" si="4"/>
        <v>Late</v>
      </c>
    </row>
    <row r="269" spans="1:13" x14ac:dyDescent="0.35">
      <c r="A269" t="s">
        <v>264</v>
      </c>
      <c r="B269" t="s">
        <v>416</v>
      </c>
      <c r="C269" t="s">
        <v>583</v>
      </c>
      <c r="D269" s="2" t="s">
        <v>582</v>
      </c>
      <c r="E269" s="1" t="s">
        <v>595</v>
      </c>
      <c r="F269" s="3">
        <v>49</v>
      </c>
      <c r="G269" s="4">
        <v>55000</v>
      </c>
      <c r="H269" s="5">
        <v>147</v>
      </c>
      <c r="I269" s="6">
        <v>45795</v>
      </c>
      <c r="J269" s="2" t="s">
        <v>598</v>
      </c>
      <c r="K269" s="15">
        <f>PRODUCT(Table24[[#This Row],[Ticket Price]],Table24[[#This Row],[Passenger Count]])</f>
        <v>8085000</v>
      </c>
      <c r="L269" s="15">
        <f>Table24[[#This Row],[Revenue]]*(1-$Q$2)</f>
        <v>7276500</v>
      </c>
      <c r="M269" t="str">
        <f t="shared" si="4"/>
        <v>Late</v>
      </c>
    </row>
    <row r="270" spans="1:13" x14ac:dyDescent="0.35">
      <c r="A270" t="s">
        <v>265</v>
      </c>
      <c r="B270" t="s">
        <v>540</v>
      </c>
      <c r="C270" t="s">
        <v>581</v>
      </c>
      <c r="D270" s="2" t="s">
        <v>583</v>
      </c>
      <c r="E270" s="1" t="s">
        <v>592</v>
      </c>
      <c r="F270" s="3">
        <v>54</v>
      </c>
      <c r="G270" s="4">
        <v>40000</v>
      </c>
      <c r="H270" s="5">
        <v>87</v>
      </c>
      <c r="I270" s="6">
        <v>45763</v>
      </c>
      <c r="J270" s="2" t="s">
        <v>597</v>
      </c>
      <c r="K270" s="15">
        <f>PRODUCT(Table24[[#This Row],[Ticket Price]],Table24[[#This Row],[Passenger Count]])</f>
        <v>3480000</v>
      </c>
      <c r="L270" s="15">
        <f>Table24[[#This Row],[Revenue]]*(1-$Q$2)</f>
        <v>3132000</v>
      </c>
      <c r="M270" t="str">
        <f t="shared" si="4"/>
        <v>Late</v>
      </c>
    </row>
    <row r="271" spans="1:13" x14ac:dyDescent="0.35">
      <c r="A271" t="s">
        <v>266</v>
      </c>
      <c r="B271" t="s">
        <v>462</v>
      </c>
      <c r="C271" t="s">
        <v>582</v>
      </c>
      <c r="D271" s="2" t="s">
        <v>590</v>
      </c>
      <c r="E271" s="1" t="s">
        <v>593</v>
      </c>
      <c r="F271" s="3">
        <v>19</v>
      </c>
      <c r="G271" s="4">
        <v>35000</v>
      </c>
      <c r="H271" s="5">
        <v>151</v>
      </c>
      <c r="I271" s="6">
        <v>45757</v>
      </c>
      <c r="J271" s="2" t="s">
        <v>598</v>
      </c>
      <c r="K271" s="15">
        <f>PRODUCT(Table24[[#This Row],[Ticket Price]],Table24[[#This Row],[Passenger Count]])</f>
        <v>5285000</v>
      </c>
      <c r="L271" s="15">
        <f>Table24[[#This Row],[Revenue]]*(1-$Q$2)</f>
        <v>4756500</v>
      </c>
      <c r="M271" t="str">
        <f t="shared" si="4"/>
        <v>Slight Delay</v>
      </c>
    </row>
    <row r="272" spans="1:13" x14ac:dyDescent="0.35">
      <c r="A272" t="s">
        <v>267</v>
      </c>
      <c r="B272" t="s">
        <v>470</v>
      </c>
      <c r="C272" t="s">
        <v>581</v>
      </c>
      <c r="D272" s="2" t="s">
        <v>587</v>
      </c>
      <c r="E272" s="1" t="s">
        <v>596</v>
      </c>
      <c r="F272" s="3">
        <v>35</v>
      </c>
      <c r="G272" s="4">
        <v>145000</v>
      </c>
      <c r="H272" s="5">
        <v>146</v>
      </c>
      <c r="I272" s="6">
        <v>45791</v>
      </c>
      <c r="J272" s="2" t="s">
        <v>597</v>
      </c>
      <c r="K272" s="15">
        <f>PRODUCT(Table24[[#This Row],[Ticket Price]],Table24[[#This Row],[Passenger Count]])</f>
        <v>21170000</v>
      </c>
      <c r="L272" s="15">
        <f>Table24[[#This Row],[Revenue]]*(1-$Q$2)</f>
        <v>19053000</v>
      </c>
      <c r="M272" t="str">
        <f t="shared" si="4"/>
        <v>Late</v>
      </c>
    </row>
    <row r="273" spans="1:13" x14ac:dyDescent="0.35">
      <c r="A273" t="s">
        <v>268</v>
      </c>
      <c r="B273" t="s">
        <v>541</v>
      </c>
      <c r="C273" t="s">
        <v>588</v>
      </c>
      <c r="D273" s="2" t="s">
        <v>589</v>
      </c>
      <c r="E273" s="1" t="s">
        <v>592</v>
      </c>
      <c r="F273" s="3">
        <v>155</v>
      </c>
      <c r="G273" s="4">
        <v>75000</v>
      </c>
      <c r="H273" s="5">
        <v>118</v>
      </c>
      <c r="I273" s="6">
        <v>45755</v>
      </c>
      <c r="J273" s="2" t="s">
        <v>597</v>
      </c>
      <c r="K273" s="15">
        <f>PRODUCT(Table24[[#This Row],[Ticket Price]],Table24[[#This Row],[Passenger Count]])</f>
        <v>8850000</v>
      </c>
      <c r="L273" s="15">
        <f>Table24[[#This Row],[Revenue]]*(1-$Q$2)</f>
        <v>7965000</v>
      </c>
      <c r="M273" t="str">
        <f t="shared" si="4"/>
        <v>Late</v>
      </c>
    </row>
    <row r="274" spans="1:13" x14ac:dyDescent="0.35">
      <c r="A274" t="s">
        <v>269</v>
      </c>
      <c r="B274" t="s">
        <v>542</v>
      </c>
      <c r="C274" t="s">
        <v>581</v>
      </c>
      <c r="D274" s="2" t="s">
        <v>591</v>
      </c>
      <c r="E274" s="1" t="s">
        <v>592</v>
      </c>
      <c r="F274" s="3">
        <v>101</v>
      </c>
      <c r="G274" s="4">
        <v>65000</v>
      </c>
      <c r="H274" s="5">
        <v>84</v>
      </c>
      <c r="I274" s="6">
        <v>45832</v>
      </c>
      <c r="J274" s="2" t="s">
        <v>598</v>
      </c>
      <c r="K274" s="15">
        <f>PRODUCT(Table24[[#This Row],[Ticket Price]],Table24[[#This Row],[Passenger Count]])</f>
        <v>5460000</v>
      </c>
      <c r="L274" s="15">
        <f>Table24[[#This Row],[Revenue]]*(1-$Q$2)</f>
        <v>4914000</v>
      </c>
      <c r="M274" t="str">
        <f t="shared" si="4"/>
        <v>Late</v>
      </c>
    </row>
    <row r="275" spans="1:13" x14ac:dyDescent="0.35">
      <c r="A275" t="s">
        <v>270</v>
      </c>
      <c r="B275" t="s">
        <v>543</v>
      </c>
      <c r="C275" t="s">
        <v>583</v>
      </c>
      <c r="D275" s="2" t="s">
        <v>587</v>
      </c>
      <c r="E275" s="1" t="s">
        <v>596</v>
      </c>
      <c r="F275" s="3">
        <v>164</v>
      </c>
      <c r="G275" s="4">
        <v>35000</v>
      </c>
      <c r="H275" s="5">
        <v>90</v>
      </c>
      <c r="I275" s="6">
        <v>45771</v>
      </c>
      <c r="J275" s="2" t="s">
        <v>598</v>
      </c>
      <c r="K275" s="15">
        <f>PRODUCT(Table24[[#This Row],[Ticket Price]],Table24[[#This Row],[Passenger Count]])</f>
        <v>3150000</v>
      </c>
      <c r="L275" s="15">
        <f>Table24[[#This Row],[Revenue]]*(1-$Q$2)</f>
        <v>2835000</v>
      </c>
      <c r="M275" t="str">
        <f t="shared" si="4"/>
        <v>Late</v>
      </c>
    </row>
    <row r="276" spans="1:13" x14ac:dyDescent="0.35">
      <c r="A276" t="s">
        <v>271</v>
      </c>
      <c r="B276" t="s">
        <v>544</v>
      </c>
      <c r="C276" t="s">
        <v>587</v>
      </c>
      <c r="D276" s="2" t="s">
        <v>589</v>
      </c>
      <c r="E276" s="1" t="s">
        <v>593</v>
      </c>
      <c r="F276" s="3">
        <v>54</v>
      </c>
      <c r="G276" s="4">
        <v>105000</v>
      </c>
      <c r="H276" s="5">
        <v>163</v>
      </c>
      <c r="I276" s="6">
        <v>45763</v>
      </c>
      <c r="J276" s="2" t="s">
        <v>597</v>
      </c>
      <c r="K276" s="15">
        <f>PRODUCT(Table24[[#This Row],[Ticket Price]],Table24[[#This Row],[Passenger Count]])</f>
        <v>17115000</v>
      </c>
      <c r="L276" s="15">
        <f>Table24[[#This Row],[Revenue]]*(1-$Q$2)</f>
        <v>15403500</v>
      </c>
      <c r="M276" t="str">
        <f t="shared" si="4"/>
        <v>Late</v>
      </c>
    </row>
    <row r="277" spans="1:13" x14ac:dyDescent="0.35">
      <c r="A277" t="s">
        <v>272</v>
      </c>
      <c r="B277" t="s">
        <v>545</v>
      </c>
      <c r="C277" t="s">
        <v>584</v>
      </c>
      <c r="D277" s="2" t="s">
        <v>591</v>
      </c>
      <c r="E277" s="1" t="s">
        <v>592</v>
      </c>
      <c r="F277" s="3">
        <v>63</v>
      </c>
      <c r="G277" s="4">
        <v>35000</v>
      </c>
      <c r="H277" s="5">
        <v>78</v>
      </c>
      <c r="I277" s="6">
        <v>45830</v>
      </c>
      <c r="J277" s="2" t="s">
        <v>597</v>
      </c>
      <c r="K277" s="15">
        <f>PRODUCT(Table24[[#This Row],[Ticket Price]],Table24[[#This Row],[Passenger Count]])</f>
        <v>2730000</v>
      </c>
      <c r="L277" s="15">
        <f>Table24[[#This Row],[Revenue]]*(1-$Q$2)</f>
        <v>2457000</v>
      </c>
      <c r="M277" t="str">
        <f t="shared" si="4"/>
        <v>Late</v>
      </c>
    </row>
    <row r="278" spans="1:13" x14ac:dyDescent="0.35">
      <c r="A278" t="s">
        <v>273</v>
      </c>
      <c r="B278" t="s">
        <v>546</v>
      </c>
      <c r="C278" t="s">
        <v>586</v>
      </c>
      <c r="D278" s="2" t="s">
        <v>585</v>
      </c>
      <c r="E278" s="1" t="s">
        <v>592</v>
      </c>
      <c r="F278" s="3">
        <v>171</v>
      </c>
      <c r="G278" s="4">
        <v>140000</v>
      </c>
      <c r="H278" s="5">
        <v>141</v>
      </c>
      <c r="I278" s="6">
        <v>45738</v>
      </c>
      <c r="J278" s="2" t="s">
        <v>597</v>
      </c>
      <c r="K278" s="15">
        <f>PRODUCT(Table24[[#This Row],[Ticket Price]],Table24[[#This Row],[Passenger Count]])</f>
        <v>19740000</v>
      </c>
      <c r="L278" s="15">
        <f>Table24[[#This Row],[Revenue]]*(1-$Q$2)</f>
        <v>17766000</v>
      </c>
      <c r="M278" t="str">
        <f t="shared" si="4"/>
        <v>Late</v>
      </c>
    </row>
    <row r="279" spans="1:13" x14ac:dyDescent="0.35">
      <c r="A279" t="s">
        <v>274</v>
      </c>
      <c r="B279" t="s">
        <v>358</v>
      </c>
      <c r="C279" t="s">
        <v>585</v>
      </c>
      <c r="D279" s="2" t="s">
        <v>589</v>
      </c>
      <c r="E279" s="1" t="s">
        <v>596</v>
      </c>
      <c r="F279" s="3">
        <v>46</v>
      </c>
      <c r="G279" s="4">
        <v>35000</v>
      </c>
      <c r="H279" s="5">
        <v>163</v>
      </c>
      <c r="I279" s="6">
        <v>45718</v>
      </c>
      <c r="J279" s="2" t="s">
        <v>598</v>
      </c>
      <c r="K279" s="15">
        <f>PRODUCT(Table24[[#This Row],[Ticket Price]],Table24[[#This Row],[Passenger Count]])</f>
        <v>5705000</v>
      </c>
      <c r="L279" s="15">
        <f>Table24[[#This Row],[Revenue]]*(1-$Q$2)</f>
        <v>5134500</v>
      </c>
      <c r="M279" t="str">
        <f t="shared" si="4"/>
        <v>Late</v>
      </c>
    </row>
    <row r="280" spans="1:13" x14ac:dyDescent="0.35">
      <c r="A280" t="s">
        <v>275</v>
      </c>
      <c r="B280" t="s">
        <v>547</v>
      </c>
      <c r="C280" t="s">
        <v>584</v>
      </c>
      <c r="D280" s="2" t="s">
        <v>589</v>
      </c>
      <c r="E280" s="1" t="s">
        <v>596</v>
      </c>
      <c r="F280" s="3">
        <v>73</v>
      </c>
      <c r="G280" s="4">
        <v>140000</v>
      </c>
      <c r="H280" s="5">
        <v>158</v>
      </c>
      <c r="I280" s="6">
        <v>45761</v>
      </c>
      <c r="J280" s="2" t="s">
        <v>598</v>
      </c>
      <c r="K280" s="15">
        <f>PRODUCT(Table24[[#This Row],[Ticket Price]],Table24[[#This Row],[Passenger Count]])</f>
        <v>22120000</v>
      </c>
      <c r="L280" s="15">
        <f>Table24[[#This Row],[Revenue]]*(1-$Q$2)</f>
        <v>19908000</v>
      </c>
      <c r="M280" t="str">
        <f t="shared" si="4"/>
        <v>Late</v>
      </c>
    </row>
    <row r="281" spans="1:13" x14ac:dyDescent="0.35">
      <c r="A281" t="s">
        <v>276</v>
      </c>
      <c r="B281" t="s">
        <v>476</v>
      </c>
      <c r="C281" t="s">
        <v>584</v>
      </c>
      <c r="D281" s="2" t="s">
        <v>587</v>
      </c>
      <c r="E281" s="1" t="s">
        <v>596</v>
      </c>
      <c r="F281" s="3">
        <v>173</v>
      </c>
      <c r="G281" s="4">
        <v>120000</v>
      </c>
      <c r="H281" s="5">
        <v>65</v>
      </c>
      <c r="I281" s="6">
        <v>45698</v>
      </c>
      <c r="J281" s="2" t="s">
        <v>597</v>
      </c>
      <c r="K281" s="15">
        <f>PRODUCT(Table24[[#This Row],[Ticket Price]],Table24[[#This Row],[Passenger Count]])</f>
        <v>7800000</v>
      </c>
      <c r="L281" s="15">
        <f>Table24[[#This Row],[Revenue]]*(1-$Q$2)</f>
        <v>7020000</v>
      </c>
      <c r="M281" t="str">
        <f t="shared" si="4"/>
        <v>Late</v>
      </c>
    </row>
    <row r="282" spans="1:13" x14ac:dyDescent="0.35">
      <c r="A282" t="s">
        <v>277</v>
      </c>
      <c r="B282" t="s">
        <v>548</v>
      </c>
      <c r="C282" t="s">
        <v>583</v>
      </c>
      <c r="D282" s="2" t="s">
        <v>585</v>
      </c>
      <c r="E282" s="1" t="s">
        <v>595</v>
      </c>
      <c r="F282" s="3">
        <v>174</v>
      </c>
      <c r="G282" s="4">
        <v>115000</v>
      </c>
      <c r="H282" s="5">
        <v>162</v>
      </c>
      <c r="I282" s="6">
        <v>45670</v>
      </c>
      <c r="J282" s="2" t="s">
        <v>597</v>
      </c>
      <c r="K282" s="15">
        <f>PRODUCT(Table24[[#This Row],[Ticket Price]],Table24[[#This Row],[Passenger Count]])</f>
        <v>18630000</v>
      </c>
      <c r="L282" s="15">
        <f>Table24[[#This Row],[Revenue]]*(1-$Q$2)</f>
        <v>16767000</v>
      </c>
      <c r="M282" t="str">
        <f t="shared" si="4"/>
        <v>Late</v>
      </c>
    </row>
    <row r="283" spans="1:13" x14ac:dyDescent="0.35">
      <c r="A283" t="s">
        <v>278</v>
      </c>
      <c r="B283" t="s">
        <v>443</v>
      </c>
      <c r="C283" t="s">
        <v>588</v>
      </c>
      <c r="D283" s="2" t="s">
        <v>585</v>
      </c>
      <c r="E283" s="1" t="s">
        <v>592</v>
      </c>
      <c r="F283" s="3">
        <v>-4</v>
      </c>
      <c r="G283" s="4">
        <v>25000</v>
      </c>
      <c r="H283" s="5">
        <v>92</v>
      </c>
      <c r="I283" s="6">
        <v>45755</v>
      </c>
      <c r="J283" s="2" t="s">
        <v>597</v>
      </c>
      <c r="K283" s="15">
        <f>PRODUCT(Table24[[#This Row],[Ticket Price]],Table24[[#This Row],[Passenger Count]])</f>
        <v>2300000</v>
      </c>
      <c r="L283" s="15">
        <f>Table24[[#This Row],[Revenue]]*(1-$Q$2)</f>
        <v>2070000</v>
      </c>
      <c r="M283" t="str">
        <f t="shared" si="4"/>
        <v>On Time</v>
      </c>
    </row>
    <row r="284" spans="1:13" x14ac:dyDescent="0.35">
      <c r="A284" t="s">
        <v>279</v>
      </c>
      <c r="B284" t="s">
        <v>549</v>
      </c>
      <c r="C284" t="s">
        <v>581</v>
      </c>
      <c r="D284" s="2" t="s">
        <v>582</v>
      </c>
      <c r="E284" s="1" t="s">
        <v>594</v>
      </c>
      <c r="F284" s="3">
        <v>107</v>
      </c>
      <c r="G284" s="4">
        <v>55000</v>
      </c>
      <c r="H284" s="5">
        <v>86</v>
      </c>
      <c r="I284" s="6">
        <v>45810</v>
      </c>
      <c r="J284" s="2" t="s">
        <v>598</v>
      </c>
      <c r="K284" s="15">
        <f>PRODUCT(Table24[[#This Row],[Ticket Price]],Table24[[#This Row],[Passenger Count]])</f>
        <v>4730000</v>
      </c>
      <c r="L284" s="15">
        <f>Table24[[#This Row],[Revenue]]*(1-$Q$2)</f>
        <v>4257000</v>
      </c>
      <c r="M284" t="str">
        <f t="shared" si="4"/>
        <v>Late</v>
      </c>
    </row>
    <row r="285" spans="1:13" x14ac:dyDescent="0.35">
      <c r="A285" t="s">
        <v>280</v>
      </c>
      <c r="B285" t="s">
        <v>550</v>
      </c>
      <c r="C285" t="s">
        <v>588</v>
      </c>
      <c r="D285" s="2" t="s">
        <v>587</v>
      </c>
      <c r="E285" s="1" t="s">
        <v>595</v>
      </c>
      <c r="F285" s="3">
        <v>177</v>
      </c>
      <c r="G285" s="4">
        <v>110000</v>
      </c>
      <c r="H285" s="5">
        <v>123</v>
      </c>
      <c r="I285" s="6">
        <v>45734</v>
      </c>
      <c r="J285" s="2" t="s">
        <v>598</v>
      </c>
      <c r="K285" s="15">
        <f>PRODUCT(Table24[[#This Row],[Ticket Price]],Table24[[#This Row],[Passenger Count]])</f>
        <v>13530000</v>
      </c>
      <c r="L285" s="15">
        <f>Table24[[#This Row],[Revenue]]*(1-$Q$2)</f>
        <v>12177000</v>
      </c>
      <c r="M285" t="str">
        <f t="shared" si="4"/>
        <v>Late</v>
      </c>
    </row>
    <row r="286" spans="1:13" x14ac:dyDescent="0.35">
      <c r="A286" t="s">
        <v>281</v>
      </c>
      <c r="B286" t="s">
        <v>551</v>
      </c>
      <c r="C286" t="s">
        <v>585</v>
      </c>
      <c r="D286" s="2" t="s">
        <v>587</v>
      </c>
      <c r="E286" s="1" t="s">
        <v>592</v>
      </c>
      <c r="F286" s="3">
        <v>59</v>
      </c>
      <c r="G286" s="4">
        <v>30000</v>
      </c>
      <c r="H286" s="5">
        <v>165</v>
      </c>
      <c r="I286" s="6">
        <v>45829</v>
      </c>
      <c r="J286" s="2" t="s">
        <v>597</v>
      </c>
      <c r="K286" s="15">
        <f>PRODUCT(Table24[[#This Row],[Ticket Price]],Table24[[#This Row],[Passenger Count]])</f>
        <v>4950000</v>
      </c>
      <c r="L286" s="15">
        <f>Table24[[#This Row],[Revenue]]*(1-$Q$2)</f>
        <v>4455000</v>
      </c>
      <c r="M286" t="str">
        <f t="shared" si="4"/>
        <v>Late</v>
      </c>
    </row>
    <row r="287" spans="1:13" x14ac:dyDescent="0.35">
      <c r="A287" t="s">
        <v>282</v>
      </c>
      <c r="B287" t="s">
        <v>552</v>
      </c>
      <c r="C287" t="s">
        <v>581</v>
      </c>
      <c r="D287" s="2" t="s">
        <v>591</v>
      </c>
      <c r="E287" s="1" t="s">
        <v>594</v>
      </c>
      <c r="F287" s="3">
        <v>102</v>
      </c>
      <c r="G287" s="4">
        <v>70000</v>
      </c>
      <c r="H287" s="5">
        <v>74</v>
      </c>
      <c r="I287" s="6">
        <v>45675</v>
      </c>
      <c r="J287" s="2" t="s">
        <v>598</v>
      </c>
      <c r="K287" s="15">
        <f>PRODUCT(Table24[[#This Row],[Ticket Price]],Table24[[#This Row],[Passenger Count]])</f>
        <v>5180000</v>
      </c>
      <c r="L287" s="15">
        <f>Table24[[#This Row],[Revenue]]*(1-$Q$2)</f>
        <v>4662000</v>
      </c>
      <c r="M287" t="str">
        <f t="shared" si="4"/>
        <v>Late</v>
      </c>
    </row>
    <row r="288" spans="1:13" x14ac:dyDescent="0.35">
      <c r="A288" t="s">
        <v>283</v>
      </c>
      <c r="B288" t="s">
        <v>353</v>
      </c>
      <c r="C288" t="s">
        <v>581</v>
      </c>
      <c r="D288" s="2" t="s">
        <v>584</v>
      </c>
      <c r="E288" s="1" t="s">
        <v>592</v>
      </c>
      <c r="F288" s="3">
        <v>106</v>
      </c>
      <c r="G288" s="4">
        <v>50000</v>
      </c>
      <c r="H288" s="5">
        <v>97</v>
      </c>
      <c r="I288" s="6">
        <v>45713</v>
      </c>
      <c r="J288" s="2" t="s">
        <v>598</v>
      </c>
      <c r="K288" s="15">
        <f>PRODUCT(Table24[[#This Row],[Ticket Price]],Table24[[#This Row],[Passenger Count]])</f>
        <v>4850000</v>
      </c>
      <c r="L288" s="15">
        <f>Table24[[#This Row],[Revenue]]*(1-$Q$2)</f>
        <v>4365000</v>
      </c>
      <c r="M288" t="str">
        <f t="shared" si="4"/>
        <v>Late</v>
      </c>
    </row>
    <row r="289" spans="1:13" x14ac:dyDescent="0.35">
      <c r="A289" t="s">
        <v>284</v>
      </c>
      <c r="B289" t="s">
        <v>553</v>
      </c>
      <c r="C289" t="s">
        <v>583</v>
      </c>
      <c r="D289" s="2" t="s">
        <v>587</v>
      </c>
      <c r="E289" s="1" t="s">
        <v>596</v>
      </c>
      <c r="F289" s="3">
        <v>25</v>
      </c>
      <c r="G289" s="4">
        <v>120000</v>
      </c>
      <c r="H289" s="5">
        <v>132</v>
      </c>
      <c r="I289" s="6">
        <v>45834</v>
      </c>
      <c r="J289" s="2" t="s">
        <v>598</v>
      </c>
      <c r="K289" s="15">
        <f>PRODUCT(Table24[[#This Row],[Ticket Price]],Table24[[#This Row],[Passenger Count]])</f>
        <v>15840000</v>
      </c>
      <c r="L289" s="15">
        <f>Table24[[#This Row],[Revenue]]*(1-$Q$2)</f>
        <v>14256000</v>
      </c>
      <c r="M289" t="str">
        <f t="shared" si="4"/>
        <v>Slight Delay</v>
      </c>
    </row>
    <row r="290" spans="1:13" x14ac:dyDescent="0.35">
      <c r="A290" t="s">
        <v>285</v>
      </c>
      <c r="B290" t="s">
        <v>554</v>
      </c>
      <c r="C290" t="s">
        <v>583</v>
      </c>
      <c r="D290" s="2" t="s">
        <v>587</v>
      </c>
      <c r="E290" s="1" t="s">
        <v>596</v>
      </c>
      <c r="F290" s="3">
        <v>90</v>
      </c>
      <c r="G290" s="4">
        <v>35000</v>
      </c>
      <c r="H290" s="5">
        <v>79</v>
      </c>
      <c r="I290" s="6">
        <v>45662</v>
      </c>
      <c r="J290" s="2" t="s">
        <v>597</v>
      </c>
      <c r="K290" s="15">
        <f>PRODUCT(Table24[[#This Row],[Ticket Price]],Table24[[#This Row],[Passenger Count]])</f>
        <v>2765000</v>
      </c>
      <c r="L290" s="15">
        <f>Table24[[#This Row],[Revenue]]*(1-$Q$2)</f>
        <v>2488500</v>
      </c>
      <c r="M290" t="str">
        <f t="shared" si="4"/>
        <v>Late</v>
      </c>
    </row>
    <row r="291" spans="1:13" x14ac:dyDescent="0.35">
      <c r="A291" t="s">
        <v>286</v>
      </c>
      <c r="B291" t="s">
        <v>555</v>
      </c>
      <c r="C291" t="s">
        <v>581</v>
      </c>
      <c r="D291" s="2" t="s">
        <v>584</v>
      </c>
      <c r="E291" s="1" t="s">
        <v>593</v>
      </c>
      <c r="F291" s="3">
        <v>54</v>
      </c>
      <c r="G291" s="4">
        <v>125000</v>
      </c>
      <c r="H291" s="5">
        <v>128</v>
      </c>
      <c r="I291" s="6">
        <v>45696</v>
      </c>
      <c r="J291" s="2" t="s">
        <v>597</v>
      </c>
      <c r="K291" s="15">
        <f>PRODUCT(Table24[[#This Row],[Ticket Price]],Table24[[#This Row],[Passenger Count]])</f>
        <v>16000000</v>
      </c>
      <c r="L291" s="15">
        <f>Table24[[#This Row],[Revenue]]*(1-$Q$2)</f>
        <v>14400000</v>
      </c>
      <c r="M291" t="str">
        <f t="shared" si="4"/>
        <v>Late</v>
      </c>
    </row>
    <row r="292" spans="1:13" x14ac:dyDescent="0.35">
      <c r="A292" t="s">
        <v>287</v>
      </c>
      <c r="B292" t="s">
        <v>468</v>
      </c>
      <c r="C292" t="s">
        <v>581</v>
      </c>
      <c r="D292" s="2" t="s">
        <v>583</v>
      </c>
      <c r="E292" s="1" t="s">
        <v>594</v>
      </c>
      <c r="F292" s="3">
        <v>29</v>
      </c>
      <c r="G292" s="4">
        <v>100000</v>
      </c>
      <c r="H292" s="5">
        <v>100</v>
      </c>
      <c r="I292" s="6">
        <v>45818</v>
      </c>
      <c r="J292" s="2" t="s">
        <v>597</v>
      </c>
      <c r="K292" s="15">
        <f>PRODUCT(Table24[[#This Row],[Ticket Price]],Table24[[#This Row],[Passenger Count]])</f>
        <v>10000000</v>
      </c>
      <c r="L292" s="15">
        <f>Table24[[#This Row],[Revenue]]*(1-$Q$2)</f>
        <v>9000000</v>
      </c>
      <c r="M292" t="str">
        <f t="shared" si="4"/>
        <v>Slight Delay</v>
      </c>
    </row>
    <row r="293" spans="1:13" x14ac:dyDescent="0.35">
      <c r="A293" t="s">
        <v>288</v>
      </c>
      <c r="B293" t="s">
        <v>461</v>
      </c>
      <c r="C293" t="s">
        <v>585</v>
      </c>
      <c r="D293" s="2" t="s">
        <v>590</v>
      </c>
      <c r="E293" s="1" t="s">
        <v>594</v>
      </c>
      <c r="F293" s="3">
        <v>64</v>
      </c>
      <c r="G293" s="4">
        <v>55000</v>
      </c>
      <c r="H293" s="5">
        <v>128</v>
      </c>
      <c r="I293" s="6">
        <v>45781</v>
      </c>
      <c r="J293" s="2" t="s">
        <v>597</v>
      </c>
      <c r="K293" s="15">
        <f>PRODUCT(Table24[[#This Row],[Ticket Price]],Table24[[#This Row],[Passenger Count]])</f>
        <v>7040000</v>
      </c>
      <c r="L293" s="15">
        <f>Table24[[#This Row],[Revenue]]*(1-$Q$2)</f>
        <v>6336000</v>
      </c>
      <c r="M293" t="str">
        <f t="shared" si="4"/>
        <v>Late</v>
      </c>
    </row>
    <row r="294" spans="1:13" x14ac:dyDescent="0.35">
      <c r="A294" t="s">
        <v>289</v>
      </c>
      <c r="B294" t="s">
        <v>556</v>
      </c>
      <c r="C294" t="s">
        <v>586</v>
      </c>
      <c r="D294" s="2" t="s">
        <v>582</v>
      </c>
      <c r="E294" s="1" t="s">
        <v>594</v>
      </c>
      <c r="F294" s="3">
        <v>66</v>
      </c>
      <c r="G294" s="4">
        <v>110000</v>
      </c>
      <c r="H294" s="5">
        <v>161</v>
      </c>
      <c r="I294" s="6">
        <v>45737</v>
      </c>
      <c r="J294" s="2" t="s">
        <v>597</v>
      </c>
      <c r="K294" s="15">
        <f>PRODUCT(Table24[[#This Row],[Ticket Price]],Table24[[#This Row],[Passenger Count]])</f>
        <v>17710000</v>
      </c>
      <c r="L294" s="15">
        <f>Table24[[#This Row],[Revenue]]*(1-$Q$2)</f>
        <v>15939000</v>
      </c>
      <c r="M294" t="str">
        <f t="shared" si="4"/>
        <v>Late</v>
      </c>
    </row>
    <row r="295" spans="1:13" x14ac:dyDescent="0.35">
      <c r="A295" t="s">
        <v>290</v>
      </c>
      <c r="B295" t="s">
        <v>557</v>
      </c>
      <c r="C295" t="s">
        <v>585</v>
      </c>
      <c r="D295" s="2" t="s">
        <v>584</v>
      </c>
      <c r="E295" s="1" t="s">
        <v>593</v>
      </c>
      <c r="F295" s="3">
        <v>21</v>
      </c>
      <c r="G295" s="4">
        <v>90000</v>
      </c>
      <c r="H295" s="5">
        <v>126</v>
      </c>
      <c r="I295" s="6">
        <v>45833</v>
      </c>
      <c r="J295" s="2" t="s">
        <v>598</v>
      </c>
      <c r="K295" s="15">
        <f>PRODUCT(Table24[[#This Row],[Ticket Price]],Table24[[#This Row],[Passenger Count]])</f>
        <v>11340000</v>
      </c>
      <c r="L295" s="15">
        <f>Table24[[#This Row],[Revenue]]*(1-$Q$2)</f>
        <v>10206000</v>
      </c>
      <c r="M295" t="str">
        <f t="shared" si="4"/>
        <v>Slight Delay</v>
      </c>
    </row>
    <row r="296" spans="1:13" x14ac:dyDescent="0.35">
      <c r="A296" t="s">
        <v>291</v>
      </c>
      <c r="B296" t="s">
        <v>558</v>
      </c>
      <c r="C296" t="s">
        <v>584</v>
      </c>
      <c r="D296" s="2" t="s">
        <v>583</v>
      </c>
      <c r="E296" s="1" t="s">
        <v>596</v>
      </c>
      <c r="F296" s="3">
        <v>132</v>
      </c>
      <c r="G296" s="4">
        <v>115000</v>
      </c>
      <c r="H296" s="5">
        <v>170</v>
      </c>
      <c r="I296" s="6">
        <v>45798</v>
      </c>
      <c r="J296" s="2" t="s">
        <v>598</v>
      </c>
      <c r="K296" s="15">
        <f>PRODUCT(Table24[[#This Row],[Ticket Price]],Table24[[#This Row],[Passenger Count]])</f>
        <v>19550000</v>
      </c>
      <c r="L296" s="15">
        <f>Table24[[#This Row],[Revenue]]*(1-$Q$2)</f>
        <v>17595000</v>
      </c>
      <c r="M296" t="str">
        <f t="shared" si="4"/>
        <v>Late</v>
      </c>
    </row>
    <row r="297" spans="1:13" x14ac:dyDescent="0.35">
      <c r="A297" t="s">
        <v>292</v>
      </c>
      <c r="B297" t="s">
        <v>434</v>
      </c>
      <c r="C297" t="s">
        <v>587</v>
      </c>
      <c r="D297" s="2" t="s">
        <v>585</v>
      </c>
      <c r="E297" s="1" t="s">
        <v>592</v>
      </c>
      <c r="F297" s="3">
        <v>177</v>
      </c>
      <c r="G297" s="4">
        <v>30000</v>
      </c>
      <c r="H297" s="5">
        <v>168</v>
      </c>
      <c r="I297" s="6">
        <v>45724</v>
      </c>
      <c r="J297" s="2" t="s">
        <v>598</v>
      </c>
      <c r="K297" s="15">
        <f>PRODUCT(Table24[[#This Row],[Ticket Price]],Table24[[#This Row],[Passenger Count]])</f>
        <v>5040000</v>
      </c>
      <c r="L297" s="15">
        <f>Table24[[#This Row],[Revenue]]*(1-$Q$2)</f>
        <v>4536000</v>
      </c>
      <c r="M297" t="str">
        <f t="shared" si="4"/>
        <v>Late</v>
      </c>
    </row>
    <row r="298" spans="1:13" x14ac:dyDescent="0.35">
      <c r="A298" t="s">
        <v>293</v>
      </c>
      <c r="B298" t="s">
        <v>362</v>
      </c>
      <c r="C298" t="s">
        <v>587</v>
      </c>
      <c r="D298" s="2" t="s">
        <v>582</v>
      </c>
      <c r="E298" s="1" t="s">
        <v>593</v>
      </c>
      <c r="F298" s="3">
        <v>-3</v>
      </c>
      <c r="G298" s="4">
        <v>65000</v>
      </c>
      <c r="H298" s="5">
        <v>170</v>
      </c>
      <c r="I298" s="6">
        <v>45713</v>
      </c>
      <c r="J298" s="2" t="s">
        <v>597</v>
      </c>
      <c r="K298" s="15">
        <f>PRODUCT(Table24[[#This Row],[Ticket Price]],Table24[[#This Row],[Passenger Count]])</f>
        <v>11050000</v>
      </c>
      <c r="L298" s="15">
        <f>Table24[[#This Row],[Revenue]]*(1-$Q$2)</f>
        <v>9945000</v>
      </c>
      <c r="M298" t="str">
        <f t="shared" si="4"/>
        <v>On Time</v>
      </c>
    </row>
    <row r="299" spans="1:13" x14ac:dyDescent="0.35">
      <c r="A299" t="s">
        <v>294</v>
      </c>
      <c r="B299" t="s">
        <v>559</v>
      </c>
      <c r="C299" t="s">
        <v>586</v>
      </c>
      <c r="D299" s="2" t="s">
        <v>589</v>
      </c>
      <c r="E299" s="1" t="s">
        <v>594</v>
      </c>
      <c r="F299" s="3">
        <v>51</v>
      </c>
      <c r="G299" s="4">
        <v>60000</v>
      </c>
      <c r="H299" s="5">
        <v>84</v>
      </c>
      <c r="I299" s="6">
        <v>45735</v>
      </c>
      <c r="J299" s="2" t="s">
        <v>598</v>
      </c>
      <c r="K299" s="15">
        <f>PRODUCT(Table24[[#This Row],[Ticket Price]],Table24[[#This Row],[Passenger Count]])</f>
        <v>5040000</v>
      </c>
      <c r="L299" s="15">
        <f>Table24[[#This Row],[Revenue]]*(1-$Q$2)</f>
        <v>4536000</v>
      </c>
      <c r="M299" t="str">
        <f t="shared" si="4"/>
        <v>Late</v>
      </c>
    </row>
    <row r="300" spans="1:13" x14ac:dyDescent="0.35">
      <c r="A300" t="s">
        <v>295</v>
      </c>
      <c r="B300" t="s">
        <v>358</v>
      </c>
      <c r="C300" t="s">
        <v>584</v>
      </c>
      <c r="D300" s="2" t="s">
        <v>591</v>
      </c>
      <c r="E300" s="1" t="s">
        <v>594</v>
      </c>
      <c r="F300" s="3">
        <v>138</v>
      </c>
      <c r="G300" s="4">
        <v>35000</v>
      </c>
      <c r="H300" s="5">
        <v>135</v>
      </c>
      <c r="I300" s="6">
        <v>45833</v>
      </c>
      <c r="J300" s="2" t="s">
        <v>597</v>
      </c>
      <c r="K300" s="15">
        <f>PRODUCT(Table24[[#This Row],[Ticket Price]],Table24[[#This Row],[Passenger Count]])</f>
        <v>4725000</v>
      </c>
      <c r="L300" s="15">
        <f>Table24[[#This Row],[Revenue]]*(1-$Q$2)</f>
        <v>4252500</v>
      </c>
      <c r="M300" t="str">
        <f t="shared" si="4"/>
        <v>Late</v>
      </c>
    </row>
    <row r="301" spans="1:13" x14ac:dyDescent="0.35">
      <c r="A301" t="s">
        <v>296</v>
      </c>
      <c r="B301" t="s">
        <v>560</v>
      </c>
      <c r="C301" t="s">
        <v>585</v>
      </c>
      <c r="D301" s="2" t="s">
        <v>591</v>
      </c>
      <c r="E301" s="1" t="s">
        <v>592</v>
      </c>
      <c r="F301" s="3">
        <v>22</v>
      </c>
      <c r="G301" s="4">
        <v>100000</v>
      </c>
      <c r="H301" s="5">
        <v>117</v>
      </c>
      <c r="I301" s="6">
        <v>45776</v>
      </c>
      <c r="J301" s="2" t="s">
        <v>597</v>
      </c>
      <c r="K301" s="15">
        <f>PRODUCT(Table24[[#This Row],[Ticket Price]],Table24[[#This Row],[Passenger Count]])</f>
        <v>11700000</v>
      </c>
      <c r="L301" s="15">
        <f>Table24[[#This Row],[Revenue]]*(1-$Q$2)</f>
        <v>10530000</v>
      </c>
      <c r="M301" t="str">
        <f t="shared" si="4"/>
        <v>Slight Delay</v>
      </c>
    </row>
    <row r="302" spans="1:13" x14ac:dyDescent="0.35">
      <c r="A302" t="s">
        <v>297</v>
      </c>
      <c r="B302" t="s">
        <v>425</v>
      </c>
      <c r="C302" t="s">
        <v>583</v>
      </c>
      <c r="D302" s="2" t="s">
        <v>591</v>
      </c>
      <c r="E302" s="1" t="s">
        <v>595</v>
      </c>
      <c r="F302" s="3">
        <v>126</v>
      </c>
      <c r="G302" s="4">
        <v>75000</v>
      </c>
      <c r="H302" s="5">
        <v>83</v>
      </c>
      <c r="I302" s="6">
        <v>45696</v>
      </c>
      <c r="J302" s="2" t="s">
        <v>597</v>
      </c>
      <c r="K302" s="15">
        <f>PRODUCT(Table24[[#This Row],[Ticket Price]],Table24[[#This Row],[Passenger Count]])</f>
        <v>6225000</v>
      </c>
      <c r="L302" s="15">
        <f>Table24[[#This Row],[Revenue]]*(1-$Q$2)</f>
        <v>5602500</v>
      </c>
      <c r="M302" t="str">
        <f t="shared" si="4"/>
        <v>Late</v>
      </c>
    </row>
    <row r="303" spans="1:13" x14ac:dyDescent="0.35">
      <c r="A303" t="s">
        <v>298</v>
      </c>
      <c r="B303" t="s">
        <v>561</v>
      </c>
      <c r="C303" t="s">
        <v>584</v>
      </c>
      <c r="D303" s="2" t="s">
        <v>583</v>
      </c>
      <c r="E303" s="1" t="s">
        <v>592</v>
      </c>
      <c r="F303" s="3">
        <v>74</v>
      </c>
      <c r="G303" s="4">
        <v>55000</v>
      </c>
      <c r="H303" s="5">
        <v>156</v>
      </c>
      <c r="I303" s="6">
        <v>45773</v>
      </c>
      <c r="J303" s="2" t="s">
        <v>597</v>
      </c>
      <c r="K303" s="15">
        <f>PRODUCT(Table24[[#This Row],[Ticket Price]],Table24[[#This Row],[Passenger Count]])</f>
        <v>8580000</v>
      </c>
      <c r="L303" s="15">
        <f>Table24[[#This Row],[Revenue]]*(1-$Q$2)</f>
        <v>7722000</v>
      </c>
      <c r="M303" t="str">
        <f t="shared" si="4"/>
        <v>Late</v>
      </c>
    </row>
    <row r="304" spans="1:13" x14ac:dyDescent="0.35">
      <c r="A304" t="s">
        <v>299</v>
      </c>
      <c r="B304" t="s">
        <v>562</v>
      </c>
      <c r="C304" t="s">
        <v>587</v>
      </c>
      <c r="D304" s="2" t="s">
        <v>590</v>
      </c>
      <c r="E304" s="1" t="s">
        <v>596</v>
      </c>
      <c r="F304" s="3">
        <v>56</v>
      </c>
      <c r="G304" s="4">
        <v>145000</v>
      </c>
      <c r="H304" s="5">
        <v>133</v>
      </c>
      <c r="I304" s="6">
        <v>45824</v>
      </c>
      <c r="J304" s="2" t="s">
        <v>598</v>
      </c>
      <c r="K304" s="15">
        <f>PRODUCT(Table24[[#This Row],[Ticket Price]],Table24[[#This Row],[Passenger Count]])</f>
        <v>19285000</v>
      </c>
      <c r="L304" s="15">
        <f>Table24[[#This Row],[Revenue]]*(1-$Q$2)</f>
        <v>17356500</v>
      </c>
      <c r="M304" t="str">
        <f t="shared" si="4"/>
        <v>Late</v>
      </c>
    </row>
    <row r="305" spans="1:13" x14ac:dyDescent="0.35">
      <c r="A305" t="s">
        <v>300</v>
      </c>
      <c r="B305" t="s">
        <v>468</v>
      </c>
      <c r="C305" t="s">
        <v>587</v>
      </c>
      <c r="D305" s="2" t="s">
        <v>589</v>
      </c>
      <c r="E305" s="1" t="s">
        <v>594</v>
      </c>
      <c r="F305" s="3">
        <v>138</v>
      </c>
      <c r="G305" s="4">
        <v>90000</v>
      </c>
      <c r="H305" s="5">
        <v>144</v>
      </c>
      <c r="I305" s="6">
        <v>45675</v>
      </c>
      <c r="J305" s="2" t="s">
        <v>598</v>
      </c>
      <c r="K305" s="15">
        <f>PRODUCT(Table24[[#This Row],[Ticket Price]],Table24[[#This Row],[Passenger Count]])</f>
        <v>12960000</v>
      </c>
      <c r="L305" s="15">
        <f>Table24[[#This Row],[Revenue]]*(1-$Q$2)</f>
        <v>11664000</v>
      </c>
      <c r="M305" t="str">
        <f t="shared" si="4"/>
        <v>Late</v>
      </c>
    </row>
    <row r="306" spans="1:13" x14ac:dyDescent="0.35">
      <c r="A306" t="s">
        <v>301</v>
      </c>
      <c r="B306" t="s">
        <v>436</v>
      </c>
      <c r="C306" t="s">
        <v>586</v>
      </c>
      <c r="D306" s="2" t="s">
        <v>590</v>
      </c>
      <c r="E306" s="1" t="s">
        <v>595</v>
      </c>
      <c r="F306" s="3">
        <v>81</v>
      </c>
      <c r="G306" s="4">
        <v>125000</v>
      </c>
      <c r="H306" s="5">
        <v>129</v>
      </c>
      <c r="I306" s="6">
        <v>45767</v>
      </c>
      <c r="J306" s="2" t="s">
        <v>597</v>
      </c>
      <c r="K306" s="15">
        <f>PRODUCT(Table24[[#This Row],[Ticket Price]],Table24[[#This Row],[Passenger Count]])</f>
        <v>16125000</v>
      </c>
      <c r="L306" s="15">
        <f>Table24[[#This Row],[Revenue]]*(1-$Q$2)</f>
        <v>14512500</v>
      </c>
      <c r="M306" t="str">
        <f t="shared" si="4"/>
        <v>Late</v>
      </c>
    </row>
    <row r="307" spans="1:13" x14ac:dyDescent="0.35">
      <c r="A307" t="s">
        <v>302</v>
      </c>
      <c r="B307" t="s">
        <v>563</v>
      </c>
      <c r="C307" t="s">
        <v>587</v>
      </c>
      <c r="D307" s="2" t="s">
        <v>584</v>
      </c>
      <c r="E307" s="1" t="s">
        <v>593</v>
      </c>
      <c r="F307" s="3">
        <v>103</v>
      </c>
      <c r="G307" s="4">
        <v>150000</v>
      </c>
      <c r="H307" s="5">
        <v>126</v>
      </c>
      <c r="I307" s="6">
        <v>45735</v>
      </c>
      <c r="J307" s="2" t="s">
        <v>598</v>
      </c>
      <c r="K307" s="15">
        <f>PRODUCT(Table24[[#This Row],[Ticket Price]],Table24[[#This Row],[Passenger Count]])</f>
        <v>18900000</v>
      </c>
      <c r="L307" s="15">
        <f>Table24[[#This Row],[Revenue]]*(1-$Q$2)</f>
        <v>17010000</v>
      </c>
      <c r="M307" t="str">
        <f t="shared" si="4"/>
        <v>Late</v>
      </c>
    </row>
    <row r="308" spans="1:13" x14ac:dyDescent="0.35">
      <c r="A308" t="s">
        <v>303</v>
      </c>
      <c r="B308" t="s">
        <v>564</v>
      </c>
      <c r="C308" t="s">
        <v>587</v>
      </c>
      <c r="D308" s="2" t="s">
        <v>585</v>
      </c>
      <c r="E308" s="1" t="s">
        <v>596</v>
      </c>
      <c r="F308" s="3">
        <v>175</v>
      </c>
      <c r="G308" s="4">
        <v>140000</v>
      </c>
      <c r="H308" s="5">
        <v>70</v>
      </c>
      <c r="I308" s="6">
        <v>45811</v>
      </c>
      <c r="J308" s="2" t="s">
        <v>598</v>
      </c>
      <c r="K308" s="15">
        <f>PRODUCT(Table24[[#This Row],[Ticket Price]],Table24[[#This Row],[Passenger Count]])</f>
        <v>9800000</v>
      </c>
      <c r="L308" s="15">
        <f>Table24[[#This Row],[Revenue]]*(1-$Q$2)</f>
        <v>8820000</v>
      </c>
      <c r="M308" t="str">
        <f t="shared" si="4"/>
        <v>Late</v>
      </c>
    </row>
    <row r="309" spans="1:13" x14ac:dyDescent="0.35">
      <c r="A309" t="s">
        <v>304</v>
      </c>
      <c r="B309" t="s">
        <v>540</v>
      </c>
      <c r="C309" t="s">
        <v>584</v>
      </c>
      <c r="D309" s="2" t="s">
        <v>589</v>
      </c>
      <c r="E309" s="1" t="s">
        <v>593</v>
      </c>
      <c r="F309" s="3">
        <v>133</v>
      </c>
      <c r="G309" s="4">
        <v>115000</v>
      </c>
      <c r="H309" s="5">
        <v>107</v>
      </c>
      <c r="I309" s="6">
        <v>45820</v>
      </c>
      <c r="J309" s="2" t="s">
        <v>598</v>
      </c>
      <c r="K309" s="15">
        <f>PRODUCT(Table24[[#This Row],[Ticket Price]],Table24[[#This Row],[Passenger Count]])</f>
        <v>12305000</v>
      </c>
      <c r="L309" s="15">
        <f>Table24[[#This Row],[Revenue]]*(1-$Q$2)</f>
        <v>11074500</v>
      </c>
      <c r="M309" t="str">
        <f t="shared" si="4"/>
        <v>Late</v>
      </c>
    </row>
    <row r="310" spans="1:13" x14ac:dyDescent="0.35">
      <c r="A310" t="s">
        <v>305</v>
      </c>
      <c r="B310" t="s">
        <v>565</v>
      </c>
      <c r="C310" t="s">
        <v>583</v>
      </c>
      <c r="D310" s="2" t="s">
        <v>590</v>
      </c>
      <c r="E310" s="1" t="s">
        <v>594</v>
      </c>
      <c r="F310" s="3">
        <v>176</v>
      </c>
      <c r="G310" s="4">
        <v>110000</v>
      </c>
      <c r="H310" s="5">
        <v>114</v>
      </c>
      <c r="I310" s="6">
        <v>45829</v>
      </c>
      <c r="J310" s="2" t="s">
        <v>598</v>
      </c>
      <c r="K310" s="15">
        <f>PRODUCT(Table24[[#This Row],[Ticket Price]],Table24[[#This Row],[Passenger Count]])</f>
        <v>12540000</v>
      </c>
      <c r="L310" s="15">
        <f>Table24[[#This Row],[Revenue]]*(1-$Q$2)</f>
        <v>11286000</v>
      </c>
      <c r="M310" t="str">
        <f t="shared" si="4"/>
        <v>Late</v>
      </c>
    </row>
    <row r="311" spans="1:13" x14ac:dyDescent="0.35">
      <c r="A311" t="s">
        <v>306</v>
      </c>
      <c r="B311" t="s">
        <v>428</v>
      </c>
      <c r="C311" t="s">
        <v>587</v>
      </c>
      <c r="D311" s="2" t="s">
        <v>583</v>
      </c>
      <c r="E311" s="1" t="s">
        <v>595</v>
      </c>
      <c r="F311" s="3">
        <v>147</v>
      </c>
      <c r="G311" s="4">
        <v>60000</v>
      </c>
      <c r="H311" s="5">
        <v>83</v>
      </c>
      <c r="I311" s="6">
        <v>45690</v>
      </c>
      <c r="J311" s="2" t="s">
        <v>597</v>
      </c>
      <c r="K311" s="15">
        <f>PRODUCT(Table24[[#This Row],[Ticket Price]],Table24[[#This Row],[Passenger Count]])</f>
        <v>4980000</v>
      </c>
      <c r="L311" s="15">
        <f>Table24[[#This Row],[Revenue]]*(1-$Q$2)</f>
        <v>4482000</v>
      </c>
      <c r="M311" t="str">
        <f t="shared" si="4"/>
        <v>Late</v>
      </c>
    </row>
    <row r="312" spans="1:13" x14ac:dyDescent="0.35">
      <c r="A312" t="s">
        <v>307</v>
      </c>
      <c r="B312" t="s">
        <v>439</v>
      </c>
      <c r="C312" t="s">
        <v>588</v>
      </c>
      <c r="D312" s="2" t="s">
        <v>583</v>
      </c>
      <c r="E312" s="1" t="s">
        <v>593</v>
      </c>
      <c r="F312" s="3">
        <v>123</v>
      </c>
      <c r="G312" s="4">
        <v>60000</v>
      </c>
      <c r="H312" s="5">
        <v>171</v>
      </c>
      <c r="I312" s="6">
        <v>45731</v>
      </c>
      <c r="J312" s="2" t="s">
        <v>597</v>
      </c>
      <c r="K312" s="15">
        <f>PRODUCT(Table24[[#This Row],[Ticket Price]],Table24[[#This Row],[Passenger Count]])</f>
        <v>10260000</v>
      </c>
      <c r="L312" s="15">
        <f>Table24[[#This Row],[Revenue]]*(1-$Q$2)</f>
        <v>9234000</v>
      </c>
      <c r="M312" t="str">
        <f t="shared" si="4"/>
        <v>Late</v>
      </c>
    </row>
    <row r="313" spans="1:13" x14ac:dyDescent="0.35">
      <c r="A313" t="s">
        <v>308</v>
      </c>
      <c r="B313" t="s">
        <v>465</v>
      </c>
      <c r="C313" t="s">
        <v>583</v>
      </c>
      <c r="D313" s="2" t="s">
        <v>585</v>
      </c>
      <c r="E313" s="1" t="s">
        <v>593</v>
      </c>
      <c r="F313" s="3">
        <v>102</v>
      </c>
      <c r="G313" s="4">
        <v>115000</v>
      </c>
      <c r="H313" s="5">
        <v>92</v>
      </c>
      <c r="I313" s="6">
        <v>45669</v>
      </c>
      <c r="J313" s="2" t="s">
        <v>597</v>
      </c>
      <c r="K313" s="15">
        <f>PRODUCT(Table24[[#This Row],[Ticket Price]],Table24[[#This Row],[Passenger Count]])</f>
        <v>10580000</v>
      </c>
      <c r="L313" s="15">
        <f>Table24[[#This Row],[Revenue]]*(1-$Q$2)</f>
        <v>9522000</v>
      </c>
      <c r="M313" t="str">
        <f t="shared" si="4"/>
        <v>Late</v>
      </c>
    </row>
    <row r="314" spans="1:13" x14ac:dyDescent="0.35">
      <c r="A314" t="s">
        <v>309</v>
      </c>
      <c r="B314" t="s">
        <v>482</v>
      </c>
      <c r="C314" t="s">
        <v>583</v>
      </c>
      <c r="D314" s="2" t="s">
        <v>582</v>
      </c>
      <c r="E314" s="1" t="s">
        <v>596</v>
      </c>
      <c r="F314" s="3">
        <v>47</v>
      </c>
      <c r="G314" s="4">
        <v>85000</v>
      </c>
      <c r="H314" s="5">
        <v>156</v>
      </c>
      <c r="I314" s="6">
        <v>45726</v>
      </c>
      <c r="J314" s="2" t="s">
        <v>597</v>
      </c>
      <c r="K314" s="15">
        <f>PRODUCT(Table24[[#This Row],[Ticket Price]],Table24[[#This Row],[Passenger Count]])</f>
        <v>13260000</v>
      </c>
      <c r="L314" s="15">
        <f>Table24[[#This Row],[Revenue]]*(1-$Q$2)</f>
        <v>11934000</v>
      </c>
      <c r="M314" t="str">
        <f t="shared" si="4"/>
        <v>Late</v>
      </c>
    </row>
    <row r="315" spans="1:13" x14ac:dyDescent="0.35">
      <c r="A315" t="s">
        <v>310</v>
      </c>
      <c r="B315" t="s">
        <v>415</v>
      </c>
      <c r="C315" t="s">
        <v>583</v>
      </c>
      <c r="D315" s="2" t="s">
        <v>587</v>
      </c>
      <c r="E315" s="1" t="s">
        <v>596</v>
      </c>
      <c r="F315" s="3">
        <v>82</v>
      </c>
      <c r="G315" s="4">
        <v>130000</v>
      </c>
      <c r="H315" s="5">
        <v>178</v>
      </c>
      <c r="I315" s="6">
        <v>45658</v>
      </c>
      <c r="J315" s="2" t="s">
        <v>597</v>
      </c>
      <c r="K315" s="15">
        <f>PRODUCT(Table24[[#This Row],[Ticket Price]],Table24[[#This Row],[Passenger Count]])</f>
        <v>23140000</v>
      </c>
      <c r="L315" s="15">
        <f>Table24[[#This Row],[Revenue]]*(1-$Q$2)</f>
        <v>20826000</v>
      </c>
      <c r="M315" t="str">
        <f t="shared" si="4"/>
        <v>Late</v>
      </c>
    </row>
    <row r="316" spans="1:13" x14ac:dyDescent="0.35">
      <c r="A316" t="s">
        <v>311</v>
      </c>
      <c r="B316" t="s">
        <v>566</v>
      </c>
      <c r="C316" t="s">
        <v>585</v>
      </c>
      <c r="D316" s="2" t="s">
        <v>584</v>
      </c>
      <c r="E316" s="1" t="s">
        <v>595</v>
      </c>
      <c r="F316" s="3">
        <v>141</v>
      </c>
      <c r="G316" s="4">
        <v>35000</v>
      </c>
      <c r="H316" s="5">
        <v>134</v>
      </c>
      <c r="I316" s="6">
        <v>45777</v>
      </c>
      <c r="J316" s="2" t="s">
        <v>597</v>
      </c>
      <c r="K316" s="15">
        <f>PRODUCT(Table24[[#This Row],[Ticket Price]],Table24[[#This Row],[Passenger Count]])</f>
        <v>4690000</v>
      </c>
      <c r="L316" s="15">
        <f>Table24[[#This Row],[Revenue]]*(1-$Q$2)</f>
        <v>4221000</v>
      </c>
      <c r="M316" t="str">
        <f t="shared" si="4"/>
        <v>Late</v>
      </c>
    </row>
    <row r="317" spans="1:13" x14ac:dyDescent="0.35">
      <c r="A317" t="s">
        <v>312</v>
      </c>
      <c r="B317" t="s">
        <v>403</v>
      </c>
      <c r="C317" t="s">
        <v>585</v>
      </c>
      <c r="D317" s="2" t="s">
        <v>591</v>
      </c>
      <c r="E317" s="1" t="s">
        <v>592</v>
      </c>
      <c r="F317" s="3">
        <v>152</v>
      </c>
      <c r="G317" s="4">
        <v>30000</v>
      </c>
      <c r="H317" s="5">
        <v>176</v>
      </c>
      <c r="I317" s="6">
        <v>45759</v>
      </c>
      <c r="J317" s="2" t="s">
        <v>597</v>
      </c>
      <c r="K317" s="15">
        <f>PRODUCT(Table24[[#This Row],[Ticket Price]],Table24[[#This Row],[Passenger Count]])</f>
        <v>5280000</v>
      </c>
      <c r="L317" s="15">
        <f>Table24[[#This Row],[Revenue]]*(1-$Q$2)</f>
        <v>4752000</v>
      </c>
      <c r="M317" t="str">
        <f t="shared" si="4"/>
        <v>Late</v>
      </c>
    </row>
    <row r="318" spans="1:13" x14ac:dyDescent="0.35">
      <c r="A318" t="s">
        <v>313</v>
      </c>
      <c r="B318" t="s">
        <v>567</v>
      </c>
      <c r="C318" t="s">
        <v>585</v>
      </c>
      <c r="D318" s="2" t="s">
        <v>582</v>
      </c>
      <c r="E318" s="1" t="s">
        <v>594</v>
      </c>
      <c r="F318" s="3">
        <v>89</v>
      </c>
      <c r="G318" s="4">
        <v>70000</v>
      </c>
      <c r="H318" s="5">
        <v>99</v>
      </c>
      <c r="I318" s="6">
        <v>45786</v>
      </c>
      <c r="J318" s="2" t="s">
        <v>597</v>
      </c>
      <c r="K318" s="15">
        <f>PRODUCT(Table24[[#This Row],[Ticket Price]],Table24[[#This Row],[Passenger Count]])</f>
        <v>6930000</v>
      </c>
      <c r="L318" s="15">
        <f>Table24[[#This Row],[Revenue]]*(1-$Q$2)</f>
        <v>6237000</v>
      </c>
      <c r="M318" t="str">
        <f t="shared" si="4"/>
        <v>Late</v>
      </c>
    </row>
    <row r="319" spans="1:13" x14ac:dyDescent="0.35">
      <c r="A319" t="s">
        <v>314</v>
      </c>
      <c r="B319" t="s">
        <v>568</v>
      </c>
      <c r="C319" t="s">
        <v>585</v>
      </c>
      <c r="D319" s="2" t="s">
        <v>582</v>
      </c>
      <c r="E319" s="1" t="s">
        <v>593</v>
      </c>
      <c r="F319" s="3">
        <v>16</v>
      </c>
      <c r="G319" s="4">
        <v>25000</v>
      </c>
      <c r="H319" s="5">
        <v>139</v>
      </c>
      <c r="I319" s="6">
        <v>45834</v>
      </c>
      <c r="J319" s="2" t="s">
        <v>598</v>
      </c>
      <c r="K319" s="15">
        <f>PRODUCT(Table24[[#This Row],[Ticket Price]],Table24[[#This Row],[Passenger Count]])</f>
        <v>3475000</v>
      </c>
      <c r="L319" s="15">
        <f>Table24[[#This Row],[Revenue]]*(1-$Q$2)</f>
        <v>3127500</v>
      </c>
      <c r="M319" t="str">
        <f t="shared" si="4"/>
        <v>Slight Delay</v>
      </c>
    </row>
    <row r="320" spans="1:13" x14ac:dyDescent="0.35">
      <c r="A320" t="s">
        <v>315</v>
      </c>
      <c r="B320" t="s">
        <v>455</v>
      </c>
      <c r="C320" t="s">
        <v>587</v>
      </c>
      <c r="D320" s="2" t="s">
        <v>590</v>
      </c>
      <c r="E320" s="1" t="s">
        <v>593</v>
      </c>
      <c r="F320" s="3">
        <v>32</v>
      </c>
      <c r="G320" s="4">
        <v>130000</v>
      </c>
      <c r="H320" s="5">
        <v>69</v>
      </c>
      <c r="I320" s="6">
        <v>45734</v>
      </c>
      <c r="J320" s="2" t="s">
        <v>598</v>
      </c>
      <c r="K320" s="15">
        <f>PRODUCT(Table24[[#This Row],[Ticket Price]],Table24[[#This Row],[Passenger Count]])</f>
        <v>8970000</v>
      </c>
      <c r="L320" s="15">
        <f>Table24[[#This Row],[Revenue]]*(1-$Q$2)</f>
        <v>8073000</v>
      </c>
      <c r="M320" t="str">
        <f t="shared" si="4"/>
        <v>Late</v>
      </c>
    </row>
    <row r="321" spans="1:13" x14ac:dyDescent="0.35">
      <c r="A321" t="s">
        <v>316</v>
      </c>
      <c r="B321" t="s">
        <v>512</v>
      </c>
      <c r="C321" t="s">
        <v>587</v>
      </c>
      <c r="D321" s="2" t="s">
        <v>585</v>
      </c>
      <c r="E321" s="1" t="s">
        <v>594</v>
      </c>
      <c r="F321" s="3">
        <v>28</v>
      </c>
      <c r="G321" s="4">
        <v>130000</v>
      </c>
      <c r="H321" s="5">
        <v>178</v>
      </c>
      <c r="I321" s="6">
        <v>45689</v>
      </c>
      <c r="J321" s="2" t="s">
        <v>598</v>
      </c>
      <c r="K321" s="15">
        <f>PRODUCT(Table24[[#This Row],[Ticket Price]],Table24[[#This Row],[Passenger Count]])</f>
        <v>23140000</v>
      </c>
      <c r="L321" s="15">
        <f>Table24[[#This Row],[Revenue]]*(1-$Q$2)</f>
        <v>20826000</v>
      </c>
      <c r="M321" t="str">
        <f t="shared" si="4"/>
        <v>Slight Delay</v>
      </c>
    </row>
    <row r="322" spans="1:13" x14ac:dyDescent="0.35">
      <c r="A322" t="s">
        <v>317</v>
      </c>
      <c r="B322" t="s">
        <v>381</v>
      </c>
      <c r="C322" t="s">
        <v>582</v>
      </c>
      <c r="D322" s="2" t="s">
        <v>589</v>
      </c>
      <c r="E322" s="1" t="s">
        <v>596</v>
      </c>
      <c r="F322" s="3">
        <v>25</v>
      </c>
      <c r="G322" s="4">
        <v>120000</v>
      </c>
      <c r="H322" s="5">
        <v>111</v>
      </c>
      <c r="I322" s="6">
        <v>45762</v>
      </c>
      <c r="J322" s="2" t="s">
        <v>598</v>
      </c>
      <c r="K322" s="15">
        <f>PRODUCT(Table24[[#This Row],[Ticket Price]],Table24[[#This Row],[Passenger Count]])</f>
        <v>13320000</v>
      </c>
      <c r="L322" s="15">
        <f>Table24[[#This Row],[Revenue]]*(1-$Q$2)</f>
        <v>11988000</v>
      </c>
      <c r="M322" t="str">
        <f t="shared" ref="M322:M351" si="5">IF(F322&lt;=10,"On Time",IF(F322&lt;=30,"Slight Delay","Late"))</f>
        <v>Slight Delay</v>
      </c>
    </row>
    <row r="323" spans="1:13" x14ac:dyDescent="0.35">
      <c r="A323" t="s">
        <v>318</v>
      </c>
      <c r="B323" t="s">
        <v>569</v>
      </c>
      <c r="C323" t="s">
        <v>581</v>
      </c>
      <c r="D323" s="2" t="s">
        <v>587</v>
      </c>
      <c r="E323" s="1" t="s">
        <v>594</v>
      </c>
      <c r="F323" s="3">
        <v>54</v>
      </c>
      <c r="G323" s="4">
        <v>30000</v>
      </c>
      <c r="H323" s="5">
        <v>101</v>
      </c>
      <c r="I323" s="6">
        <v>45672</v>
      </c>
      <c r="J323" s="2" t="s">
        <v>597</v>
      </c>
      <c r="K323" s="15">
        <f>PRODUCT(Table24[[#This Row],[Ticket Price]],Table24[[#This Row],[Passenger Count]])</f>
        <v>3030000</v>
      </c>
      <c r="L323" s="15">
        <f>Table24[[#This Row],[Revenue]]*(1-$Q$2)</f>
        <v>2727000</v>
      </c>
      <c r="M323" t="str">
        <f t="shared" si="5"/>
        <v>Late</v>
      </c>
    </row>
    <row r="324" spans="1:13" x14ac:dyDescent="0.35">
      <c r="A324" t="s">
        <v>319</v>
      </c>
      <c r="B324" t="s">
        <v>570</v>
      </c>
      <c r="C324" t="s">
        <v>585</v>
      </c>
      <c r="D324" s="2" t="s">
        <v>584</v>
      </c>
      <c r="E324" s="1" t="s">
        <v>592</v>
      </c>
      <c r="F324" s="3">
        <v>105</v>
      </c>
      <c r="G324" s="4">
        <v>110000</v>
      </c>
      <c r="H324" s="5">
        <v>126</v>
      </c>
      <c r="I324" s="6">
        <v>45818</v>
      </c>
      <c r="J324" s="2" t="s">
        <v>598</v>
      </c>
      <c r="K324" s="15">
        <f>PRODUCT(Table24[[#This Row],[Ticket Price]],Table24[[#This Row],[Passenger Count]])</f>
        <v>13860000</v>
      </c>
      <c r="L324" s="15">
        <f>Table24[[#This Row],[Revenue]]*(1-$Q$2)</f>
        <v>12474000</v>
      </c>
      <c r="M324" t="str">
        <f t="shared" si="5"/>
        <v>Late</v>
      </c>
    </row>
    <row r="325" spans="1:13" x14ac:dyDescent="0.35">
      <c r="A325" t="s">
        <v>320</v>
      </c>
      <c r="B325" t="s">
        <v>571</v>
      </c>
      <c r="C325" t="s">
        <v>581</v>
      </c>
      <c r="D325" s="2" t="s">
        <v>585</v>
      </c>
      <c r="E325" s="1" t="s">
        <v>595</v>
      </c>
      <c r="F325" s="3">
        <v>27</v>
      </c>
      <c r="G325" s="4">
        <v>45000</v>
      </c>
      <c r="H325" s="5">
        <v>73</v>
      </c>
      <c r="I325" s="6">
        <v>45659</v>
      </c>
      <c r="J325" s="2" t="s">
        <v>598</v>
      </c>
      <c r="K325" s="15">
        <f>PRODUCT(Table24[[#This Row],[Ticket Price]],Table24[[#This Row],[Passenger Count]])</f>
        <v>3285000</v>
      </c>
      <c r="L325" s="15">
        <f>Table24[[#This Row],[Revenue]]*(1-$Q$2)</f>
        <v>2956500</v>
      </c>
      <c r="M325" t="str">
        <f t="shared" si="5"/>
        <v>Slight Delay</v>
      </c>
    </row>
    <row r="326" spans="1:13" x14ac:dyDescent="0.35">
      <c r="A326" t="s">
        <v>321</v>
      </c>
      <c r="B326" t="s">
        <v>572</v>
      </c>
      <c r="C326" t="s">
        <v>588</v>
      </c>
      <c r="D326" s="2" t="s">
        <v>590</v>
      </c>
      <c r="E326" s="1" t="s">
        <v>595</v>
      </c>
      <c r="F326" s="3">
        <v>89</v>
      </c>
      <c r="G326" s="4">
        <v>120000</v>
      </c>
      <c r="H326" s="5">
        <v>175</v>
      </c>
      <c r="I326" s="6">
        <v>45804</v>
      </c>
      <c r="J326" s="2" t="s">
        <v>598</v>
      </c>
      <c r="K326" s="15">
        <f>PRODUCT(Table24[[#This Row],[Ticket Price]],Table24[[#This Row],[Passenger Count]])</f>
        <v>21000000</v>
      </c>
      <c r="L326" s="15">
        <f>Table24[[#This Row],[Revenue]]*(1-$Q$2)</f>
        <v>18900000</v>
      </c>
      <c r="M326" t="str">
        <f t="shared" si="5"/>
        <v>Late</v>
      </c>
    </row>
    <row r="327" spans="1:13" x14ac:dyDescent="0.35">
      <c r="A327" t="s">
        <v>322</v>
      </c>
      <c r="B327" t="s">
        <v>456</v>
      </c>
      <c r="C327" t="s">
        <v>582</v>
      </c>
      <c r="D327" s="2" t="s">
        <v>589</v>
      </c>
      <c r="E327" s="1" t="s">
        <v>592</v>
      </c>
      <c r="F327" s="3">
        <v>90</v>
      </c>
      <c r="G327" s="4">
        <v>90000</v>
      </c>
      <c r="H327" s="5">
        <v>95</v>
      </c>
      <c r="I327" s="6">
        <v>45775</v>
      </c>
      <c r="J327" s="2" t="s">
        <v>598</v>
      </c>
      <c r="K327" s="15">
        <f>PRODUCT(Table24[[#This Row],[Ticket Price]],Table24[[#This Row],[Passenger Count]])</f>
        <v>8550000</v>
      </c>
      <c r="L327" s="15">
        <f>Table24[[#This Row],[Revenue]]*(1-$Q$2)</f>
        <v>7695000</v>
      </c>
      <c r="M327" t="str">
        <f t="shared" si="5"/>
        <v>Late</v>
      </c>
    </row>
    <row r="328" spans="1:13" x14ac:dyDescent="0.35">
      <c r="A328" t="s">
        <v>323</v>
      </c>
      <c r="B328" t="s">
        <v>573</v>
      </c>
      <c r="C328" t="s">
        <v>587</v>
      </c>
      <c r="D328" s="2" t="s">
        <v>584</v>
      </c>
      <c r="E328" s="1" t="s">
        <v>596</v>
      </c>
      <c r="F328" s="3">
        <v>6</v>
      </c>
      <c r="G328" s="4">
        <v>95000</v>
      </c>
      <c r="H328" s="5">
        <v>157</v>
      </c>
      <c r="I328" s="6">
        <v>45684</v>
      </c>
      <c r="J328" s="2" t="s">
        <v>597</v>
      </c>
      <c r="K328" s="15">
        <f>PRODUCT(Table24[[#This Row],[Ticket Price]],Table24[[#This Row],[Passenger Count]])</f>
        <v>14915000</v>
      </c>
      <c r="L328" s="15">
        <f>Table24[[#This Row],[Revenue]]*(1-$Q$2)</f>
        <v>13423500</v>
      </c>
      <c r="M328" t="str">
        <f t="shared" si="5"/>
        <v>On Time</v>
      </c>
    </row>
    <row r="329" spans="1:13" x14ac:dyDescent="0.35">
      <c r="A329" t="s">
        <v>324</v>
      </c>
      <c r="B329" t="s">
        <v>532</v>
      </c>
      <c r="C329" t="s">
        <v>581</v>
      </c>
      <c r="D329" s="2" t="s">
        <v>582</v>
      </c>
      <c r="E329" s="1" t="s">
        <v>594</v>
      </c>
      <c r="F329" s="3">
        <v>43</v>
      </c>
      <c r="G329" s="4">
        <v>40000</v>
      </c>
      <c r="H329" s="5">
        <v>80</v>
      </c>
      <c r="I329" s="6">
        <v>45722</v>
      </c>
      <c r="J329" s="2" t="s">
        <v>598</v>
      </c>
      <c r="K329" s="15">
        <f>PRODUCT(Table24[[#This Row],[Ticket Price]],Table24[[#This Row],[Passenger Count]])</f>
        <v>3200000</v>
      </c>
      <c r="L329" s="15">
        <f>Table24[[#This Row],[Revenue]]*(1-$Q$2)</f>
        <v>2880000</v>
      </c>
      <c r="M329" t="str">
        <f t="shared" si="5"/>
        <v>Late</v>
      </c>
    </row>
    <row r="330" spans="1:13" x14ac:dyDescent="0.35">
      <c r="A330" t="s">
        <v>325</v>
      </c>
      <c r="B330" t="s">
        <v>406</v>
      </c>
      <c r="C330" t="s">
        <v>581</v>
      </c>
      <c r="D330" s="2" t="s">
        <v>590</v>
      </c>
      <c r="E330" s="1" t="s">
        <v>592</v>
      </c>
      <c r="F330" s="3">
        <v>8</v>
      </c>
      <c r="G330" s="4">
        <v>70000</v>
      </c>
      <c r="H330" s="5">
        <v>74</v>
      </c>
      <c r="I330" s="6">
        <v>45732</v>
      </c>
      <c r="J330" s="2" t="s">
        <v>597</v>
      </c>
      <c r="K330" s="15">
        <f>PRODUCT(Table24[[#This Row],[Ticket Price]],Table24[[#This Row],[Passenger Count]])</f>
        <v>5180000</v>
      </c>
      <c r="L330" s="15">
        <f>Table24[[#This Row],[Revenue]]*(1-$Q$2)</f>
        <v>4662000</v>
      </c>
      <c r="M330" t="str">
        <f t="shared" si="5"/>
        <v>On Time</v>
      </c>
    </row>
    <row r="331" spans="1:13" x14ac:dyDescent="0.35">
      <c r="A331" t="s">
        <v>326</v>
      </c>
      <c r="B331" t="s">
        <v>488</v>
      </c>
      <c r="C331" t="s">
        <v>587</v>
      </c>
      <c r="D331" s="2" t="s">
        <v>585</v>
      </c>
      <c r="E331" s="1" t="s">
        <v>594</v>
      </c>
      <c r="F331" s="3">
        <v>153</v>
      </c>
      <c r="G331" s="4">
        <v>125000</v>
      </c>
      <c r="H331" s="5">
        <v>101</v>
      </c>
      <c r="I331" s="6">
        <v>45677</v>
      </c>
      <c r="J331" s="2" t="s">
        <v>598</v>
      </c>
      <c r="K331" s="15">
        <f>PRODUCT(Table24[[#This Row],[Ticket Price]],Table24[[#This Row],[Passenger Count]])</f>
        <v>12625000</v>
      </c>
      <c r="L331" s="15">
        <f>Table24[[#This Row],[Revenue]]*(1-$Q$2)</f>
        <v>11362500</v>
      </c>
      <c r="M331" t="str">
        <f t="shared" si="5"/>
        <v>Late</v>
      </c>
    </row>
    <row r="332" spans="1:13" x14ac:dyDescent="0.35">
      <c r="A332" t="s">
        <v>327</v>
      </c>
      <c r="B332" t="s">
        <v>543</v>
      </c>
      <c r="C332" t="s">
        <v>588</v>
      </c>
      <c r="D332" s="2" t="s">
        <v>589</v>
      </c>
      <c r="E332" s="1" t="s">
        <v>592</v>
      </c>
      <c r="F332" s="3">
        <v>46</v>
      </c>
      <c r="G332" s="4">
        <v>50000</v>
      </c>
      <c r="H332" s="5">
        <v>141</v>
      </c>
      <c r="I332" s="6">
        <v>45776</v>
      </c>
      <c r="J332" s="2" t="s">
        <v>598</v>
      </c>
      <c r="K332" s="15">
        <f>PRODUCT(Table24[[#This Row],[Ticket Price]],Table24[[#This Row],[Passenger Count]])</f>
        <v>7050000</v>
      </c>
      <c r="L332" s="15">
        <f>Table24[[#This Row],[Revenue]]*(1-$Q$2)</f>
        <v>6345000</v>
      </c>
      <c r="M332" t="str">
        <f t="shared" si="5"/>
        <v>Late</v>
      </c>
    </row>
    <row r="333" spans="1:13" x14ac:dyDescent="0.35">
      <c r="A333" t="s">
        <v>328</v>
      </c>
      <c r="B333" t="s">
        <v>574</v>
      </c>
      <c r="C333" t="s">
        <v>584</v>
      </c>
      <c r="D333" s="2" t="s">
        <v>590</v>
      </c>
      <c r="E333" s="1" t="s">
        <v>594</v>
      </c>
      <c r="F333" s="3">
        <v>136</v>
      </c>
      <c r="G333" s="4">
        <v>25000</v>
      </c>
      <c r="H333" s="5">
        <v>132</v>
      </c>
      <c r="I333" s="6">
        <v>45756</v>
      </c>
      <c r="J333" s="2" t="s">
        <v>598</v>
      </c>
      <c r="K333" s="15">
        <f>PRODUCT(Table24[[#This Row],[Ticket Price]],Table24[[#This Row],[Passenger Count]])</f>
        <v>3300000</v>
      </c>
      <c r="L333" s="15">
        <f>Table24[[#This Row],[Revenue]]*(1-$Q$2)</f>
        <v>2970000</v>
      </c>
      <c r="M333" t="str">
        <f t="shared" si="5"/>
        <v>Late</v>
      </c>
    </row>
    <row r="334" spans="1:13" x14ac:dyDescent="0.35">
      <c r="A334" t="s">
        <v>329</v>
      </c>
      <c r="B334" t="s">
        <v>378</v>
      </c>
      <c r="C334" t="s">
        <v>584</v>
      </c>
      <c r="D334" s="2" t="s">
        <v>591</v>
      </c>
      <c r="E334" s="1" t="s">
        <v>592</v>
      </c>
      <c r="F334" s="3">
        <v>-1</v>
      </c>
      <c r="G334" s="4">
        <v>125000</v>
      </c>
      <c r="H334" s="5">
        <v>113</v>
      </c>
      <c r="I334" s="6">
        <v>45741</v>
      </c>
      <c r="J334" s="2" t="s">
        <v>598</v>
      </c>
      <c r="K334" s="15">
        <f>PRODUCT(Table24[[#This Row],[Ticket Price]],Table24[[#This Row],[Passenger Count]])</f>
        <v>14125000</v>
      </c>
      <c r="L334" s="15">
        <f>Table24[[#This Row],[Revenue]]*(1-$Q$2)</f>
        <v>12712500</v>
      </c>
      <c r="M334" t="str">
        <f t="shared" si="5"/>
        <v>On Time</v>
      </c>
    </row>
    <row r="335" spans="1:13" x14ac:dyDescent="0.35">
      <c r="A335" t="s">
        <v>330</v>
      </c>
      <c r="B335" t="s">
        <v>350</v>
      </c>
      <c r="C335" t="s">
        <v>584</v>
      </c>
      <c r="D335" s="2" t="s">
        <v>591</v>
      </c>
      <c r="E335" s="1" t="s">
        <v>592</v>
      </c>
      <c r="F335" s="3">
        <v>94</v>
      </c>
      <c r="G335" s="4">
        <v>70000</v>
      </c>
      <c r="H335" s="5">
        <v>113</v>
      </c>
      <c r="I335" s="6">
        <v>45792</v>
      </c>
      <c r="J335" s="2" t="s">
        <v>598</v>
      </c>
      <c r="K335" s="15">
        <f>PRODUCT(Table24[[#This Row],[Ticket Price]],Table24[[#This Row],[Passenger Count]])</f>
        <v>7910000</v>
      </c>
      <c r="L335" s="15">
        <f>Table24[[#This Row],[Revenue]]*(1-$Q$2)</f>
        <v>7119000</v>
      </c>
      <c r="M335" t="str">
        <f t="shared" si="5"/>
        <v>Late</v>
      </c>
    </row>
    <row r="336" spans="1:13" x14ac:dyDescent="0.35">
      <c r="A336" t="s">
        <v>331</v>
      </c>
      <c r="B336" t="s">
        <v>531</v>
      </c>
      <c r="C336" t="s">
        <v>584</v>
      </c>
      <c r="D336" s="2" t="s">
        <v>589</v>
      </c>
      <c r="E336" s="1" t="s">
        <v>592</v>
      </c>
      <c r="F336" s="3">
        <v>32</v>
      </c>
      <c r="G336" s="4">
        <v>90000</v>
      </c>
      <c r="H336" s="5">
        <v>110</v>
      </c>
      <c r="I336" s="6">
        <v>45735</v>
      </c>
      <c r="J336" s="2" t="s">
        <v>598</v>
      </c>
      <c r="K336" s="15">
        <f>PRODUCT(Table24[[#This Row],[Ticket Price]],Table24[[#This Row],[Passenger Count]])</f>
        <v>9900000</v>
      </c>
      <c r="L336" s="15">
        <f>Table24[[#This Row],[Revenue]]*(1-$Q$2)</f>
        <v>8910000</v>
      </c>
      <c r="M336" t="str">
        <f t="shared" si="5"/>
        <v>Late</v>
      </c>
    </row>
    <row r="337" spans="1:13" x14ac:dyDescent="0.35">
      <c r="A337" t="s">
        <v>332</v>
      </c>
      <c r="B337" t="s">
        <v>575</v>
      </c>
      <c r="C337" t="s">
        <v>582</v>
      </c>
      <c r="D337" s="2" t="s">
        <v>584</v>
      </c>
      <c r="E337" s="1" t="s">
        <v>595</v>
      </c>
      <c r="F337" s="3">
        <v>55</v>
      </c>
      <c r="G337" s="4">
        <v>115000</v>
      </c>
      <c r="H337" s="5">
        <v>128</v>
      </c>
      <c r="I337" s="6">
        <v>45756</v>
      </c>
      <c r="J337" s="2" t="s">
        <v>598</v>
      </c>
      <c r="K337" s="15">
        <f>PRODUCT(Table24[[#This Row],[Ticket Price]],Table24[[#This Row],[Passenger Count]])</f>
        <v>14720000</v>
      </c>
      <c r="L337" s="15">
        <f>Table24[[#This Row],[Revenue]]*(1-$Q$2)</f>
        <v>13248000</v>
      </c>
      <c r="M337" t="str">
        <f t="shared" si="5"/>
        <v>Late</v>
      </c>
    </row>
    <row r="338" spans="1:13" x14ac:dyDescent="0.35">
      <c r="A338" t="s">
        <v>333</v>
      </c>
      <c r="B338" t="s">
        <v>537</v>
      </c>
      <c r="C338" t="s">
        <v>586</v>
      </c>
      <c r="D338" s="2" t="s">
        <v>583</v>
      </c>
      <c r="E338" s="1" t="s">
        <v>593</v>
      </c>
      <c r="F338" s="3">
        <v>19</v>
      </c>
      <c r="G338" s="4">
        <v>100000</v>
      </c>
      <c r="H338" s="5">
        <v>93</v>
      </c>
      <c r="I338" s="6">
        <v>45668</v>
      </c>
      <c r="J338" s="2" t="s">
        <v>597</v>
      </c>
      <c r="K338" s="15">
        <f>PRODUCT(Table24[[#This Row],[Ticket Price]],Table24[[#This Row],[Passenger Count]])</f>
        <v>9300000</v>
      </c>
      <c r="L338" s="15">
        <f>Table24[[#This Row],[Revenue]]*(1-$Q$2)</f>
        <v>8370000</v>
      </c>
      <c r="M338" t="str">
        <f t="shared" si="5"/>
        <v>Slight Delay</v>
      </c>
    </row>
    <row r="339" spans="1:13" x14ac:dyDescent="0.35">
      <c r="A339" t="s">
        <v>334</v>
      </c>
      <c r="B339" t="s">
        <v>554</v>
      </c>
      <c r="C339" t="s">
        <v>583</v>
      </c>
      <c r="D339" s="2" t="s">
        <v>590</v>
      </c>
      <c r="E339" s="1" t="s">
        <v>594</v>
      </c>
      <c r="F339" s="3">
        <v>6</v>
      </c>
      <c r="G339" s="4">
        <v>40000</v>
      </c>
      <c r="H339" s="5">
        <v>146</v>
      </c>
      <c r="I339" s="6">
        <v>45681</v>
      </c>
      <c r="J339" s="2" t="s">
        <v>597</v>
      </c>
      <c r="K339" s="15">
        <f>PRODUCT(Table24[[#This Row],[Ticket Price]],Table24[[#This Row],[Passenger Count]])</f>
        <v>5840000</v>
      </c>
      <c r="L339" s="15">
        <f>Table24[[#This Row],[Revenue]]*(1-$Q$2)</f>
        <v>5256000</v>
      </c>
      <c r="M339" t="str">
        <f t="shared" si="5"/>
        <v>On Time</v>
      </c>
    </row>
    <row r="340" spans="1:13" x14ac:dyDescent="0.35">
      <c r="A340" t="s">
        <v>335</v>
      </c>
      <c r="B340" t="s">
        <v>511</v>
      </c>
      <c r="C340" t="s">
        <v>585</v>
      </c>
      <c r="D340" s="2" t="s">
        <v>582</v>
      </c>
      <c r="E340" s="1" t="s">
        <v>592</v>
      </c>
      <c r="F340" s="3">
        <v>29</v>
      </c>
      <c r="G340" s="4">
        <v>130000</v>
      </c>
      <c r="H340" s="5">
        <v>98</v>
      </c>
      <c r="I340" s="6">
        <v>45718</v>
      </c>
      <c r="J340" s="2" t="s">
        <v>597</v>
      </c>
      <c r="K340" s="15">
        <f>PRODUCT(Table24[[#This Row],[Ticket Price]],Table24[[#This Row],[Passenger Count]])</f>
        <v>12740000</v>
      </c>
      <c r="L340" s="15">
        <f>Table24[[#This Row],[Revenue]]*(1-$Q$2)</f>
        <v>11466000</v>
      </c>
      <c r="M340" t="str">
        <f t="shared" si="5"/>
        <v>Slight Delay</v>
      </c>
    </row>
    <row r="341" spans="1:13" x14ac:dyDescent="0.35">
      <c r="A341" t="s">
        <v>336</v>
      </c>
      <c r="B341" t="s">
        <v>576</v>
      </c>
      <c r="C341" t="s">
        <v>581</v>
      </c>
      <c r="D341" s="2" t="s">
        <v>583</v>
      </c>
      <c r="E341" s="1" t="s">
        <v>592</v>
      </c>
      <c r="F341" s="3">
        <v>153</v>
      </c>
      <c r="G341" s="4">
        <v>120000</v>
      </c>
      <c r="H341" s="5">
        <v>134</v>
      </c>
      <c r="I341" s="6">
        <v>45701</v>
      </c>
      <c r="J341" s="2" t="s">
        <v>598</v>
      </c>
      <c r="K341" s="15">
        <f>PRODUCT(Table24[[#This Row],[Ticket Price]],Table24[[#This Row],[Passenger Count]])</f>
        <v>16080000</v>
      </c>
      <c r="L341" s="15">
        <f>Table24[[#This Row],[Revenue]]*(1-$Q$2)</f>
        <v>14472000</v>
      </c>
      <c r="M341" t="str">
        <f t="shared" si="5"/>
        <v>Late</v>
      </c>
    </row>
    <row r="342" spans="1:13" x14ac:dyDescent="0.35">
      <c r="A342" t="s">
        <v>337</v>
      </c>
      <c r="B342" t="s">
        <v>577</v>
      </c>
      <c r="C342" t="s">
        <v>581</v>
      </c>
      <c r="D342" s="2" t="s">
        <v>589</v>
      </c>
      <c r="E342" s="1" t="s">
        <v>596</v>
      </c>
      <c r="F342" s="3">
        <v>116</v>
      </c>
      <c r="G342" s="4">
        <v>135000</v>
      </c>
      <c r="H342" s="5">
        <v>151</v>
      </c>
      <c r="I342" s="6">
        <v>45717</v>
      </c>
      <c r="J342" s="2" t="s">
        <v>597</v>
      </c>
      <c r="K342" s="15">
        <f>PRODUCT(Table24[[#This Row],[Ticket Price]],Table24[[#This Row],[Passenger Count]])</f>
        <v>20385000</v>
      </c>
      <c r="L342" s="15">
        <f>Table24[[#This Row],[Revenue]]*(1-$Q$2)</f>
        <v>18346500</v>
      </c>
      <c r="M342" t="str">
        <f t="shared" si="5"/>
        <v>Late</v>
      </c>
    </row>
    <row r="343" spans="1:13" x14ac:dyDescent="0.35">
      <c r="A343" t="s">
        <v>338</v>
      </c>
      <c r="B343" t="s">
        <v>495</v>
      </c>
      <c r="C343" t="s">
        <v>586</v>
      </c>
      <c r="D343" s="2" t="s">
        <v>583</v>
      </c>
      <c r="E343" s="1" t="s">
        <v>593</v>
      </c>
      <c r="F343" s="3">
        <v>167</v>
      </c>
      <c r="G343" s="4">
        <v>35000</v>
      </c>
      <c r="H343" s="5">
        <v>73</v>
      </c>
      <c r="I343" s="6">
        <v>45797</v>
      </c>
      <c r="J343" s="2" t="s">
        <v>598</v>
      </c>
      <c r="K343" s="15">
        <f>PRODUCT(Table24[[#This Row],[Ticket Price]],Table24[[#This Row],[Passenger Count]])</f>
        <v>2555000</v>
      </c>
      <c r="L343" s="15">
        <f>Table24[[#This Row],[Revenue]]*(1-$Q$2)</f>
        <v>2299500</v>
      </c>
      <c r="M343" t="str">
        <f t="shared" si="5"/>
        <v>Late</v>
      </c>
    </row>
    <row r="344" spans="1:13" x14ac:dyDescent="0.35">
      <c r="A344" t="s">
        <v>339</v>
      </c>
      <c r="B344" t="s">
        <v>388</v>
      </c>
      <c r="C344" t="s">
        <v>584</v>
      </c>
      <c r="D344" s="2" t="s">
        <v>591</v>
      </c>
      <c r="E344" s="1" t="s">
        <v>596</v>
      </c>
      <c r="F344" s="3">
        <v>42</v>
      </c>
      <c r="G344" s="4">
        <v>90000</v>
      </c>
      <c r="H344" s="5">
        <v>146</v>
      </c>
      <c r="I344" s="6">
        <v>45678</v>
      </c>
      <c r="J344" s="2" t="s">
        <v>597</v>
      </c>
      <c r="K344" s="15">
        <f>PRODUCT(Table24[[#This Row],[Ticket Price]],Table24[[#This Row],[Passenger Count]])</f>
        <v>13140000</v>
      </c>
      <c r="L344" s="15">
        <f>Table24[[#This Row],[Revenue]]*(1-$Q$2)</f>
        <v>11826000</v>
      </c>
      <c r="M344" t="str">
        <f t="shared" si="5"/>
        <v>Late</v>
      </c>
    </row>
    <row r="345" spans="1:13" x14ac:dyDescent="0.35">
      <c r="A345" t="s">
        <v>340</v>
      </c>
      <c r="B345" t="s">
        <v>578</v>
      </c>
      <c r="C345" t="s">
        <v>582</v>
      </c>
      <c r="D345" s="2" t="s">
        <v>590</v>
      </c>
      <c r="E345" s="1" t="s">
        <v>596</v>
      </c>
      <c r="F345" s="3">
        <v>124</v>
      </c>
      <c r="G345" s="4">
        <v>145000</v>
      </c>
      <c r="H345" s="5">
        <v>169</v>
      </c>
      <c r="I345" s="6">
        <v>45763</v>
      </c>
      <c r="J345" s="2" t="s">
        <v>597</v>
      </c>
      <c r="K345" s="15">
        <f>PRODUCT(Table24[[#This Row],[Ticket Price]],Table24[[#This Row],[Passenger Count]])</f>
        <v>24505000</v>
      </c>
      <c r="L345" s="15">
        <f>Table24[[#This Row],[Revenue]]*(1-$Q$2)</f>
        <v>22054500</v>
      </c>
      <c r="M345" t="str">
        <f t="shared" si="5"/>
        <v>Late</v>
      </c>
    </row>
    <row r="346" spans="1:13" x14ac:dyDescent="0.35">
      <c r="A346" t="s">
        <v>341</v>
      </c>
      <c r="B346" t="s">
        <v>579</v>
      </c>
      <c r="C346" t="s">
        <v>586</v>
      </c>
      <c r="D346" s="2" t="s">
        <v>590</v>
      </c>
      <c r="E346" s="1" t="s">
        <v>593</v>
      </c>
      <c r="F346" s="3">
        <v>119</v>
      </c>
      <c r="G346" s="4">
        <v>40000</v>
      </c>
      <c r="H346" s="5">
        <v>97</v>
      </c>
      <c r="I346" s="6">
        <v>45722</v>
      </c>
      <c r="J346" s="2" t="s">
        <v>598</v>
      </c>
      <c r="K346" s="15">
        <f>PRODUCT(Table24[[#This Row],[Ticket Price]],Table24[[#This Row],[Passenger Count]])</f>
        <v>3880000</v>
      </c>
      <c r="L346" s="15">
        <f>Table24[[#This Row],[Revenue]]*(1-$Q$2)</f>
        <v>3492000</v>
      </c>
      <c r="M346" t="str">
        <f t="shared" si="5"/>
        <v>Late</v>
      </c>
    </row>
    <row r="347" spans="1:13" x14ac:dyDescent="0.35">
      <c r="A347" t="s">
        <v>342</v>
      </c>
      <c r="B347" t="s">
        <v>517</v>
      </c>
      <c r="C347" t="s">
        <v>585</v>
      </c>
      <c r="D347" s="2" t="s">
        <v>587</v>
      </c>
      <c r="E347" s="1" t="s">
        <v>592</v>
      </c>
      <c r="F347" s="3">
        <v>-3</v>
      </c>
      <c r="G347" s="4">
        <v>60000</v>
      </c>
      <c r="H347" s="5">
        <v>126</v>
      </c>
      <c r="I347" s="6">
        <v>45744</v>
      </c>
      <c r="J347" s="2" t="s">
        <v>598</v>
      </c>
      <c r="K347" s="15">
        <f>PRODUCT(Table24[[#This Row],[Ticket Price]],Table24[[#This Row],[Passenger Count]])</f>
        <v>7560000</v>
      </c>
      <c r="L347" s="15">
        <f>Table24[[#This Row],[Revenue]]*(1-$Q$2)</f>
        <v>6804000</v>
      </c>
      <c r="M347" t="str">
        <f t="shared" si="5"/>
        <v>On Time</v>
      </c>
    </row>
    <row r="348" spans="1:13" x14ac:dyDescent="0.35">
      <c r="A348" t="s">
        <v>343</v>
      </c>
      <c r="B348" t="s">
        <v>580</v>
      </c>
      <c r="C348" t="s">
        <v>584</v>
      </c>
      <c r="D348" s="2" t="s">
        <v>589</v>
      </c>
      <c r="E348" s="1" t="s">
        <v>595</v>
      </c>
      <c r="F348" s="3">
        <v>92</v>
      </c>
      <c r="G348" s="4">
        <v>135000</v>
      </c>
      <c r="H348" s="5">
        <v>125</v>
      </c>
      <c r="I348" s="6">
        <v>45795</v>
      </c>
      <c r="J348" s="2" t="s">
        <v>597</v>
      </c>
      <c r="K348" s="15">
        <f>PRODUCT(Table24[[#This Row],[Ticket Price]],Table24[[#This Row],[Passenger Count]])</f>
        <v>16875000</v>
      </c>
      <c r="L348" s="15">
        <f>Table24[[#This Row],[Revenue]]*(1-$Q$2)</f>
        <v>15187500</v>
      </c>
      <c r="M348" t="str">
        <f t="shared" si="5"/>
        <v>Late</v>
      </c>
    </row>
    <row r="349" spans="1:13" x14ac:dyDescent="0.35">
      <c r="A349" t="s">
        <v>344</v>
      </c>
      <c r="B349" t="s">
        <v>545</v>
      </c>
      <c r="C349" t="s">
        <v>585</v>
      </c>
      <c r="D349" s="2" t="s">
        <v>583</v>
      </c>
      <c r="E349" s="1" t="s">
        <v>595</v>
      </c>
      <c r="F349" s="3">
        <v>175</v>
      </c>
      <c r="G349" s="4">
        <v>80000</v>
      </c>
      <c r="H349" s="5">
        <v>110</v>
      </c>
      <c r="I349" s="6">
        <v>45797</v>
      </c>
      <c r="J349" s="2" t="s">
        <v>598</v>
      </c>
      <c r="K349" s="15">
        <f>PRODUCT(Table24[[#This Row],[Ticket Price]],Table24[[#This Row],[Passenger Count]])</f>
        <v>8800000</v>
      </c>
      <c r="L349" s="15">
        <f>Table24[[#This Row],[Revenue]]*(1-$Q$2)</f>
        <v>7920000</v>
      </c>
      <c r="M349" t="str">
        <f t="shared" si="5"/>
        <v>Late</v>
      </c>
    </row>
    <row r="350" spans="1:13" x14ac:dyDescent="0.35">
      <c r="A350" t="s">
        <v>345</v>
      </c>
      <c r="B350" t="s">
        <v>554</v>
      </c>
      <c r="C350" t="s">
        <v>585</v>
      </c>
      <c r="D350" s="2" t="s">
        <v>584</v>
      </c>
      <c r="E350" s="1" t="s">
        <v>594</v>
      </c>
      <c r="F350" s="3">
        <v>76</v>
      </c>
      <c r="G350" s="4">
        <v>115000</v>
      </c>
      <c r="H350" s="5">
        <v>93</v>
      </c>
      <c r="I350" s="6">
        <v>45714</v>
      </c>
      <c r="J350" s="2" t="s">
        <v>598</v>
      </c>
      <c r="K350" s="15">
        <f>PRODUCT(Table24[[#This Row],[Ticket Price]],Table24[[#This Row],[Passenger Count]])</f>
        <v>10695000</v>
      </c>
      <c r="L350" s="15">
        <f>Table24[[#This Row],[Revenue]]*(1-$Q$2)</f>
        <v>9625500</v>
      </c>
      <c r="M350" t="str">
        <f t="shared" si="5"/>
        <v>Late</v>
      </c>
    </row>
    <row r="351" spans="1:13" x14ac:dyDescent="0.35">
      <c r="A351" t="s">
        <v>346</v>
      </c>
      <c r="B351" t="s">
        <v>506</v>
      </c>
      <c r="C351" t="s">
        <v>586</v>
      </c>
      <c r="D351" s="2" t="s">
        <v>582</v>
      </c>
      <c r="E351" s="1" t="s">
        <v>593</v>
      </c>
      <c r="F351" s="3">
        <v>25</v>
      </c>
      <c r="G351" s="4">
        <v>115000</v>
      </c>
      <c r="H351" s="5">
        <v>168</v>
      </c>
      <c r="I351" s="6">
        <v>45740</v>
      </c>
      <c r="J351" s="2" t="s">
        <v>598</v>
      </c>
      <c r="K351" s="15">
        <f>PRODUCT(Table24[[#This Row],[Ticket Price]],Table24[[#This Row],[Passenger Count]])</f>
        <v>19320000</v>
      </c>
      <c r="L351" s="15">
        <f>Table24[[#This Row],[Revenue]]*(1-$Q$2)</f>
        <v>17388000</v>
      </c>
      <c r="M351" t="str">
        <f t="shared" si="5"/>
        <v>Slight Delay</v>
      </c>
    </row>
    <row r="352" spans="1:13" x14ac:dyDescent="0.35">
      <c r="A352"/>
      <c r="D352"/>
      <c r="F352"/>
      <c r="G352"/>
      <c r="H352"/>
      <c r="I352"/>
      <c r="J352"/>
      <c r="K352"/>
    </row>
    <row r="353" spans="1:12" x14ac:dyDescent="0.35">
      <c r="A353"/>
      <c r="D353"/>
      <c r="F353"/>
      <c r="G353"/>
      <c r="H353"/>
      <c r="I353"/>
      <c r="J353" s="1"/>
      <c r="K353"/>
      <c r="L353"/>
    </row>
    <row r="354" spans="1:12" x14ac:dyDescent="0.35">
      <c r="A354"/>
      <c r="D354"/>
      <c r="F354"/>
      <c r="G354"/>
      <c r="H354"/>
      <c r="I354"/>
      <c r="J354" s="1"/>
      <c r="K354"/>
      <c r="L354"/>
    </row>
    <row r="355" spans="1:12" x14ac:dyDescent="0.35">
      <c r="A355"/>
      <c r="D355"/>
      <c r="F355"/>
      <c r="G355"/>
      <c r="H355"/>
      <c r="I355"/>
      <c r="J355"/>
      <c r="K355"/>
    </row>
    <row r="356" spans="1:12" x14ac:dyDescent="0.35">
      <c r="A356"/>
      <c r="D356"/>
      <c r="F356"/>
      <c r="G356"/>
      <c r="H356"/>
      <c r="I356"/>
      <c r="J356"/>
      <c r="K356"/>
    </row>
  </sheetData>
  <mergeCells count="6">
    <mergeCell ref="Q31:R31"/>
    <mergeCell ref="Q5:R5"/>
    <mergeCell ref="Q10:R10"/>
    <mergeCell ref="Q15:R15"/>
    <mergeCell ref="Q20:R20"/>
    <mergeCell ref="Q26:R26"/>
  </mergeCells>
  <conditionalFormatting sqref="F2:F351">
    <cfRule type="cellIs" dxfId="51" priority="1" operator="greaterThan">
      <formula>60</formula>
    </cfRule>
    <cfRule type="cellIs" dxfId="50" priority="2" operator="lessThan">
      <formula>11</formula>
    </cfRule>
  </conditionalFormatting>
  <dataValidations count="2">
    <dataValidation type="list" allowBlank="1" showInputMessage="1" showErrorMessage="1" sqref="Q7 Q12 Q17 Q22" xr:uid="{F6DD5528-E65F-4A62-9883-26B6D431BED5}">
      <formula1>$B$2:$B$351</formula1>
    </dataValidation>
    <dataValidation type="list" allowBlank="1" showInputMessage="1" showErrorMessage="1" sqref="R21" xr:uid="{E822BB82-4A04-41B6-970D-D439936CCEBF}">
      <formula1>$A$1:$M$1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C14F-36F0-49D5-A8F5-B0CA4E41D5AF}">
  <dimension ref="A1:R356"/>
  <sheetViews>
    <sheetView topLeftCell="K1" zoomScale="130" zoomScaleNormal="130" workbookViewId="0">
      <selection activeCell="N16" sqref="N16"/>
    </sheetView>
  </sheetViews>
  <sheetFormatPr defaultRowHeight="14.5" x14ac:dyDescent="0.35"/>
  <cols>
    <col min="1" max="1" width="11.54296875" style="1" customWidth="1"/>
    <col min="2" max="2" width="14.81640625" customWidth="1"/>
    <col min="3" max="3" width="15.1796875" customWidth="1"/>
    <col min="4" max="4" width="19.453125" style="2" bestFit="1" customWidth="1"/>
    <col min="5" max="5" width="18.1796875" bestFit="1" customWidth="1"/>
    <col min="6" max="6" width="19.54296875" style="3" customWidth="1"/>
    <col min="7" max="7" width="18" style="4" customWidth="1"/>
    <col min="8" max="8" width="17" style="5" customWidth="1"/>
    <col min="9" max="9" width="18.26953125" style="6" bestFit="1" customWidth="1"/>
    <col min="10" max="10" width="9" style="2" bestFit="1" customWidth="1"/>
    <col min="11" max="11" width="19" style="15" customWidth="1"/>
    <col min="12" max="12" width="20.81640625" style="1" customWidth="1"/>
    <col min="16" max="16" width="13.54296875" customWidth="1"/>
    <col min="17" max="17" width="17.81640625" customWidth="1"/>
    <col min="18" max="18" width="13.54296875" bestFit="1" customWidth="1"/>
  </cols>
  <sheetData>
    <row r="1" spans="1:18" x14ac:dyDescent="0.35">
      <c r="A1" s="7" t="s">
        <v>603</v>
      </c>
      <c r="B1" s="8" t="s">
        <v>604</v>
      </c>
      <c r="C1" s="8" t="s">
        <v>605</v>
      </c>
      <c r="D1" s="9" t="s">
        <v>606</v>
      </c>
      <c r="E1" s="8" t="s">
        <v>607</v>
      </c>
      <c r="F1" s="10" t="s">
        <v>608</v>
      </c>
      <c r="G1" s="11" t="s">
        <v>609</v>
      </c>
      <c r="H1" s="12" t="s">
        <v>610</v>
      </c>
      <c r="I1" s="13" t="s">
        <v>611</v>
      </c>
      <c r="J1" s="9" t="s">
        <v>0</v>
      </c>
      <c r="K1" s="14" t="s">
        <v>612</v>
      </c>
      <c r="L1" s="17" t="s">
        <v>614</v>
      </c>
      <c r="O1" s="19" t="s">
        <v>615</v>
      </c>
      <c r="P1" t="s">
        <v>616</v>
      </c>
      <c r="Q1" t="s">
        <v>614</v>
      </c>
    </row>
    <row r="2" spans="1:18" x14ac:dyDescent="0.35">
      <c r="A2" t="s">
        <v>1</v>
      </c>
      <c r="B2" t="s">
        <v>347</v>
      </c>
      <c r="C2" t="s">
        <v>581</v>
      </c>
      <c r="D2" s="2" t="s">
        <v>585</v>
      </c>
      <c r="E2" s="1" t="s">
        <v>592</v>
      </c>
      <c r="F2" s="3">
        <v>122</v>
      </c>
      <c r="G2" s="4">
        <v>140000</v>
      </c>
      <c r="H2" s="5">
        <v>94</v>
      </c>
      <c r="I2" s="6">
        <v>45682</v>
      </c>
      <c r="J2" s="2" t="s">
        <v>597</v>
      </c>
      <c r="K2" s="15">
        <f>PRODUCT(Table25[[#This Row],[Ticket Price]],Table25[[#This Row],[Passenger Count]])</f>
        <v>13160000</v>
      </c>
      <c r="L2" s="15">
        <f>Table25[[#This Row],[Revenue]]*(1-$O$2)</f>
        <v>11844000</v>
      </c>
      <c r="O2" s="18">
        <f>10/100</f>
        <v>0.1</v>
      </c>
      <c r="P2" s="15">
        <f>Table25[[#This Row],[Revenue]]*O2</f>
        <v>1316000</v>
      </c>
      <c r="Q2" s="15">
        <f>Table25[[#This Row],[Revenue]]-P2</f>
        <v>11844000</v>
      </c>
      <c r="R2" s="15"/>
    </row>
    <row r="3" spans="1:18" x14ac:dyDescent="0.35">
      <c r="A3" t="s">
        <v>2</v>
      </c>
      <c r="B3" t="s">
        <v>348</v>
      </c>
      <c r="C3" t="s">
        <v>582</v>
      </c>
      <c r="D3" s="2" t="s">
        <v>589</v>
      </c>
      <c r="E3" s="1" t="s">
        <v>593</v>
      </c>
      <c r="F3" s="3">
        <v>149</v>
      </c>
      <c r="G3" s="4">
        <v>100000</v>
      </c>
      <c r="H3" s="5">
        <v>129</v>
      </c>
      <c r="I3" s="6">
        <v>45778</v>
      </c>
      <c r="J3" s="2" t="s">
        <v>598</v>
      </c>
      <c r="K3" s="15">
        <f>PRODUCT(Table25[[#This Row],[Ticket Price]],Table25[[#This Row],[Passenger Count]])</f>
        <v>12900000</v>
      </c>
      <c r="L3" s="15">
        <f>Table25[[#This Row],[Revenue]]*(1-$O$2)</f>
        <v>11610000</v>
      </c>
    </row>
    <row r="4" spans="1:18" x14ac:dyDescent="0.35">
      <c r="A4" t="s">
        <v>601</v>
      </c>
      <c r="B4" t="s">
        <v>349</v>
      </c>
      <c r="C4" t="s">
        <v>581</v>
      </c>
      <c r="D4" s="2" t="s">
        <v>584</v>
      </c>
      <c r="E4" s="1" t="s">
        <v>594</v>
      </c>
      <c r="F4" s="3">
        <v>127</v>
      </c>
      <c r="G4" s="4">
        <v>70000</v>
      </c>
      <c r="H4" s="5">
        <v>125</v>
      </c>
      <c r="I4" s="6">
        <v>45670</v>
      </c>
      <c r="J4" s="2" t="s">
        <v>597</v>
      </c>
      <c r="K4" s="15">
        <f>PRODUCT(Table25[[#This Row],[Ticket Price]],Table25[[#This Row],[Passenger Count]])</f>
        <v>8750000</v>
      </c>
      <c r="L4" s="15">
        <f>Table25[[#This Row],[Revenue]]*(1-$O$2)</f>
        <v>7875000</v>
      </c>
    </row>
    <row r="5" spans="1:18" x14ac:dyDescent="0.35">
      <c r="A5" t="s">
        <v>3</v>
      </c>
      <c r="B5" t="s">
        <v>350</v>
      </c>
      <c r="C5" t="s">
        <v>583</v>
      </c>
      <c r="D5" s="2" t="s">
        <v>587</v>
      </c>
      <c r="E5" s="1" t="s">
        <v>595</v>
      </c>
      <c r="F5" s="3">
        <v>-4</v>
      </c>
      <c r="G5" s="4">
        <v>65000</v>
      </c>
      <c r="H5" s="5">
        <v>88</v>
      </c>
      <c r="I5" s="6">
        <v>45742</v>
      </c>
      <c r="J5" s="2" t="s">
        <v>597</v>
      </c>
      <c r="K5" s="15">
        <f>PRODUCT(Table25[[#This Row],[Ticket Price]],Table25[[#This Row],[Passenger Count]])</f>
        <v>5720000</v>
      </c>
      <c r="L5" s="15">
        <f>Table25[[#This Row],[Revenue]]*(1-$O$2)</f>
        <v>5148000</v>
      </c>
    </row>
    <row r="6" spans="1:18" x14ac:dyDescent="0.35">
      <c r="A6" t="s">
        <v>4</v>
      </c>
      <c r="B6" t="s">
        <v>351</v>
      </c>
      <c r="C6" t="s">
        <v>584</v>
      </c>
      <c r="D6" s="2" t="s">
        <v>582</v>
      </c>
      <c r="E6" s="1" t="s">
        <v>592</v>
      </c>
      <c r="F6" s="3">
        <v>161</v>
      </c>
      <c r="G6" s="4">
        <v>130000</v>
      </c>
      <c r="H6" s="5">
        <v>159</v>
      </c>
      <c r="I6" s="6">
        <v>45742</v>
      </c>
      <c r="J6" s="2" t="s">
        <v>597</v>
      </c>
      <c r="K6" s="15">
        <f>PRODUCT(Table25[[#This Row],[Ticket Price]],Table25[[#This Row],[Passenger Count]])</f>
        <v>20670000</v>
      </c>
      <c r="L6" s="15">
        <f>Table25[[#This Row],[Revenue]]*(1-$O$2)</f>
        <v>18603000</v>
      </c>
    </row>
    <row r="7" spans="1:18" x14ac:dyDescent="0.35">
      <c r="A7" t="s">
        <v>5</v>
      </c>
      <c r="B7" t="s">
        <v>352</v>
      </c>
      <c r="C7" t="s">
        <v>584</v>
      </c>
      <c r="D7" s="2" t="s">
        <v>590</v>
      </c>
      <c r="E7" s="1" t="s">
        <v>596</v>
      </c>
      <c r="F7" s="3">
        <v>112</v>
      </c>
      <c r="G7" s="4">
        <v>40000</v>
      </c>
      <c r="H7" s="5">
        <v>84</v>
      </c>
      <c r="I7" s="6">
        <v>45688</v>
      </c>
      <c r="J7" s="2" t="s">
        <v>598</v>
      </c>
      <c r="K7" s="15">
        <f>PRODUCT(Table25[[#This Row],[Ticket Price]],Table25[[#This Row],[Passenger Count]])</f>
        <v>3360000</v>
      </c>
      <c r="L7" s="15">
        <f>Table25[[#This Row],[Revenue]]*(1-$O$2)</f>
        <v>3024000</v>
      </c>
    </row>
    <row r="8" spans="1:18" x14ac:dyDescent="0.35">
      <c r="A8" t="s">
        <v>6</v>
      </c>
      <c r="B8" t="s">
        <v>353</v>
      </c>
      <c r="C8" t="s">
        <v>583</v>
      </c>
      <c r="D8" s="2" t="s">
        <v>591</v>
      </c>
      <c r="E8" s="1" t="s">
        <v>593</v>
      </c>
      <c r="F8" s="3">
        <v>107</v>
      </c>
      <c r="G8" s="4">
        <v>145000</v>
      </c>
      <c r="H8" s="5">
        <v>60</v>
      </c>
      <c r="I8" s="6">
        <v>45733</v>
      </c>
      <c r="J8" s="2" t="s">
        <v>597</v>
      </c>
      <c r="K8" s="15">
        <f>PRODUCT(Table25[[#This Row],[Ticket Price]],Table25[[#This Row],[Passenger Count]])</f>
        <v>8700000</v>
      </c>
      <c r="L8" s="15">
        <f>Table25[[#This Row],[Revenue]]*(1-$O$2)</f>
        <v>7830000</v>
      </c>
    </row>
    <row r="9" spans="1:18" x14ac:dyDescent="0.35">
      <c r="A9" t="s">
        <v>602</v>
      </c>
      <c r="B9" t="s">
        <v>354</v>
      </c>
      <c r="C9" t="s">
        <v>585</v>
      </c>
      <c r="D9" s="2" t="s">
        <v>584</v>
      </c>
      <c r="E9" s="1" t="s">
        <v>593</v>
      </c>
      <c r="F9" s="3">
        <v>73</v>
      </c>
      <c r="G9" s="4">
        <v>60000</v>
      </c>
      <c r="H9" s="5">
        <v>175</v>
      </c>
      <c r="I9" s="6">
        <v>45707</v>
      </c>
      <c r="J9" s="2" t="s">
        <v>598</v>
      </c>
      <c r="K9" s="15">
        <f>PRODUCT(Table25[[#This Row],[Ticket Price]],Table25[[#This Row],[Passenger Count]])</f>
        <v>10500000</v>
      </c>
      <c r="L9" s="15">
        <f>Table25[[#This Row],[Revenue]]*(1-$O$2)</f>
        <v>9450000</v>
      </c>
    </row>
    <row r="10" spans="1:18" x14ac:dyDescent="0.35">
      <c r="A10" t="s">
        <v>7</v>
      </c>
      <c r="B10" t="s">
        <v>355</v>
      </c>
      <c r="C10" t="s">
        <v>584</v>
      </c>
      <c r="D10" s="2" t="s">
        <v>585</v>
      </c>
      <c r="E10" s="1" t="s">
        <v>596</v>
      </c>
      <c r="F10" s="3">
        <v>148</v>
      </c>
      <c r="G10" s="4">
        <v>35000</v>
      </c>
      <c r="H10" s="5">
        <v>149</v>
      </c>
      <c r="I10" s="6">
        <v>45837</v>
      </c>
      <c r="J10" s="2" t="s">
        <v>598</v>
      </c>
      <c r="K10" s="15">
        <f>PRODUCT(Table25[[#This Row],[Ticket Price]],Table25[[#This Row],[Passenger Count]])</f>
        <v>5215000</v>
      </c>
      <c r="L10" s="15">
        <f>Table25[[#This Row],[Revenue]]*(1-$O$2)</f>
        <v>4693500</v>
      </c>
    </row>
    <row r="11" spans="1:18" x14ac:dyDescent="0.35">
      <c r="A11" t="s">
        <v>8</v>
      </c>
      <c r="B11" t="s">
        <v>356</v>
      </c>
      <c r="C11" t="s">
        <v>581</v>
      </c>
      <c r="D11" s="2" t="s">
        <v>589</v>
      </c>
      <c r="E11" s="1" t="s">
        <v>592</v>
      </c>
      <c r="F11" s="3">
        <v>98</v>
      </c>
      <c r="G11" s="4">
        <v>75000</v>
      </c>
      <c r="H11" s="5">
        <v>131</v>
      </c>
      <c r="I11" s="6">
        <v>45702</v>
      </c>
      <c r="J11" s="2" t="s">
        <v>598</v>
      </c>
      <c r="K11" s="15">
        <f>PRODUCT(Table25[[#This Row],[Ticket Price]],Table25[[#This Row],[Passenger Count]])</f>
        <v>9825000</v>
      </c>
      <c r="L11" s="15">
        <f>Table25[[#This Row],[Revenue]]*(1-$O$2)</f>
        <v>8842500</v>
      </c>
    </row>
    <row r="12" spans="1:18" x14ac:dyDescent="0.35">
      <c r="A12" t="s">
        <v>9</v>
      </c>
      <c r="B12" t="s">
        <v>357</v>
      </c>
      <c r="C12" t="s">
        <v>583</v>
      </c>
      <c r="D12" s="2" t="s">
        <v>590</v>
      </c>
      <c r="E12" s="1" t="s">
        <v>593</v>
      </c>
      <c r="F12" s="3">
        <v>75</v>
      </c>
      <c r="G12" s="4">
        <v>30000</v>
      </c>
      <c r="H12" s="5">
        <v>96</v>
      </c>
      <c r="I12" s="6">
        <v>45747</v>
      </c>
      <c r="J12" s="2" t="s">
        <v>597</v>
      </c>
      <c r="K12" s="15">
        <f>PRODUCT(Table25[[#This Row],[Ticket Price]],Table25[[#This Row],[Passenger Count]])</f>
        <v>2880000</v>
      </c>
      <c r="L12" s="15">
        <f>Table25[[#This Row],[Revenue]]*(1-$O$2)</f>
        <v>2592000</v>
      </c>
    </row>
    <row r="13" spans="1:18" x14ac:dyDescent="0.35">
      <c r="A13" t="s">
        <v>10</v>
      </c>
      <c r="B13" t="s">
        <v>358</v>
      </c>
      <c r="C13" t="s">
        <v>585</v>
      </c>
      <c r="D13" s="2" t="s">
        <v>591</v>
      </c>
      <c r="E13" s="1" t="s">
        <v>596</v>
      </c>
      <c r="F13" s="3">
        <v>33</v>
      </c>
      <c r="G13" s="4">
        <v>145000</v>
      </c>
      <c r="H13" s="5">
        <v>159</v>
      </c>
      <c r="I13" s="6">
        <v>45782</v>
      </c>
      <c r="J13" s="2" t="s">
        <v>597</v>
      </c>
      <c r="K13" s="15">
        <f>PRODUCT(Table25[[#This Row],[Ticket Price]],Table25[[#This Row],[Passenger Count]])</f>
        <v>23055000</v>
      </c>
      <c r="L13" s="15">
        <f>Table25[[#This Row],[Revenue]]*(1-$O$2)</f>
        <v>20749500</v>
      </c>
    </row>
    <row r="14" spans="1:18" x14ac:dyDescent="0.35">
      <c r="A14" t="s">
        <v>11</v>
      </c>
      <c r="B14" t="s">
        <v>359</v>
      </c>
      <c r="C14" t="s">
        <v>586</v>
      </c>
      <c r="D14" s="2" t="s">
        <v>585</v>
      </c>
      <c r="E14" s="1" t="s">
        <v>596</v>
      </c>
      <c r="F14" s="3">
        <v>164</v>
      </c>
      <c r="G14" s="4">
        <v>140000</v>
      </c>
      <c r="H14" s="5">
        <v>103</v>
      </c>
      <c r="I14" s="6">
        <v>45755</v>
      </c>
      <c r="J14" s="2" t="s">
        <v>597</v>
      </c>
      <c r="K14" s="15">
        <f>PRODUCT(Table25[[#This Row],[Ticket Price]],Table25[[#This Row],[Passenger Count]])</f>
        <v>14420000</v>
      </c>
      <c r="L14" s="15">
        <f>Table25[[#This Row],[Revenue]]*(1-$O$2)</f>
        <v>12978000</v>
      </c>
    </row>
    <row r="15" spans="1:18" x14ac:dyDescent="0.35">
      <c r="A15" t="s">
        <v>12</v>
      </c>
      <c r="B15" t="s">
        <v>360</v>
      </c>
      <c r="C15" t="s">
        <v>585</v>
      </c>
      <c r="D15" s="2" t="s">
        <v>582</v>
      </c>
      <c r="E15" s="1" t="s">
        <v>592</v>
      </c>
      <c r="F15" s="3">
        <v>138</v>
      </c>
      <c r="G15" s="4">
        <v>145000</v>
      </c>
      <c r="H15" s="5">
        <v>141</v>
      </c>
      <c r="I15" s="6">
        <v>45811</v>
      </c>
      <c r="J15" s="2" t="s">
        <v>597</v>
      </c>
      <c r="K15" s="15">
        <f>PRODUCT(Table25[[#This Row],[Ticket Price]],Table25[[#This Row],[Passenger Count]])</f>
        <v>20445000</v>
      </c>
      <c r="L15" s="15">
        <f>Table25[[#This Row],[Revenue]]*(1-$O$2)</f>
        <v>18400500</v>
      </c>
    </row>
    <row r="16" spans="1:18" x14ac:dyDescent="0.35">
      <c r="A16" t="s">
        <v>13</v>
      </c>
      <c r="B16" t="s">
        <v>361</v>
      </c>
      <c r="C16" t="s">
        <v>585</v>
      </c>
      <c r="D16" s="2" t="s">
        <v>590</v>
      </c>
      <c r="E16" s="1" t="s">
        <v>592</v>
      </c>
      <c r="F16" s="3">
        <v>45</v>
      </c>
      <c r="G16" s="4">
        <v>100000</v>
      </c>
      <c r="H16" s="5">
        <v>121</v>
      </c>
      <c r="I16" s="6">
        <v>45813</v>
      </c>
      <c r="J16" s="2" t="s">
        <v>598</v>
      </c>
      <c r="K16" s="15">
        <f>PRODUCT(Table25[[#This Row],[Ticket Price]],Table25[[#This Row],[Passenger Count]])</f>
        <v>12100000</v>
      </c>
      <c r="L16" s="15">
        <f>Table25[[#This Row],[Revenue]]*(1-$O$2)</f>
        <v>10890000</v>
      </c>
    </row>
    <row r="17" spans="1:12" x14ac:dyDescent="0.35">
      <c r="A17" t="s">
        <v>599</v>
      </c>
      <c r="B17" t="s">
        <v>362</v>
      </c>
      <c r="C17" t="s">
        <v>581</v>
      </c>
      <c r="D17" s="2" t="s">
        <v>583</v>
      </c>
      <c r="E17" s="1" t="s">
        <v>593</v>
      </c>
      <c r="F17" s="3">
        <v>22</v>
      </c>
      <c r="G17" s="4">
        <v>90000</v>
      </c>
      <c r="H17" s="5">
        <v>72</v>
      </c>
      <c r="I17" s="6">
        <v>45724</v>
      </c>
      <c r="J17" s="2" t="s">
        <v>597</v>
      </c>
      <c r="K17" s="15">
        <f>PRODUCT(Table25[[#This Row],[Ticket Price]],Table25[[#This Row],[Passenger Count]])</f>
        <v>6480000</v>
      </c>
      <c r="L17" s="15">
        <f>Table25[[#This Row],[Revenue]]*(1-$O$2)</f>
        <v>5832000</v>
      </c>
    </row>
    <row r="18" spans="1:12" x14ac:dyDescent="0.35">
      <c r="A18" t="s">
        <v>14</v>
      </c>
      <c r="B18" t="s">
        <v>363</v>
      </c>
      <c r="C18" t="s">
        <v>584</v>
      </c>
      <c r="D18" s="2" t="s">
        <v>587</v>
      </c>
      <c r="E18" s="1" t="s">
        <v>595</v>
      </c>
      <c r="F18" s="3">
        <v>15</v>
      </c>
      <c r="G18" s="4">
        <v>70000</v>
      </c>
      <c r="H18" s="5">
        <v>71</v>
      </c>
      <c r="I18" s="6">
        <v>45776</v>
      </c>
      <c r="J18" s="2" t="s">
        <v>598</v>
      </c>
      <c r="K18" s="15">
        <f>PRODUCT(Table25[[#This Row],[Ticket Price]],Table25[[#This Row],[Passenger Count]])</f>
        <v>4970000</v>
      </c>
      <c r="L18" s="15">
        <f>Table25[[#This Row],[Revenue]]*(1-$O$2)</f>
        <v>4473000</v>
      </c>
    </row>
    <row r="19" spans="1:12" x14ac:dyDescent="0.35">
      <c r="A19" t="s">
        <v>15</v>
      </c>
      <c r="B19" t="s">
        <v>364</v>
      </c>
      <c r="C19" t="s">
        <v>586</v>
      </c>
      <c r="D19" s="2" t="s">
        <v>583</v>
      </c>
      <c r="E19" s="1" t="s">
        <v>593</v>
      </c>
      <c r="F19" s="3">
        <v>102</v>
      </c>
      <c r="G19" s="4">
        <v>30000</v>
      </c>
      <c r="H19" s="5">
        <v>118</v>
      </c>
      <c r="I19" s="6">
        <v>45787</v>
      </c>
      <c r="J19" s="2" t="s">
        <v>597</v>
      </c>
      <c r="K19" s="15">
        <f>PRODUCT(Table25[[#This Row],[Ticket Price]],Table25[[#This Row],[Passenger Count]])</f>
        <v>3540000</v>
      </c>
      <c r="L19" s="15">
        <f>Table25[[#This Row],[Revenue]]*(1-$O$2)</f>
        <v>3186000</v>
      </c>
    </row>
    <row r="20" spans="1:12" x14ac:dyDescent="0.35">
      <c r="A20" t="s">
        <v>16</v>
      </c>
      <c r="B20" t="s">
        <v>365</v>
      </c>
      <c r="C20" t="s">
        <v>586</v>
      </c>
      <c r="D20" s="2" t="s">
        <v>582</v>
      </c>
      <c r="E20" s="1" t="s">
        <v>595</v>
      </c>
      <c r="F20" s="3">
        <v>90</v>
      </c>
      <c r="G20" s="4">
        <v>60000</v>
      </c>
      <c r="H20" s="5">
        <v>171</v>
      </c>
      <c r="I20" s="6">
        <v>45735</v>
      </c>
      <c r="J20" s="2" t="s">
        <v>597</v>
      </c>
      <c r="K20" s="15">
        <f>PRODUCT(Table25[[#This Row],[Ticket Price]],Table25[[#This Row],[Passenger Count]])</f>
        <v>10260000</v>
      </c>
      <c r="L20" s="15">
        <f>Table25[[#This Row],[Revenue]]*(1-$O$2)</f>
        <v>9234000</v>
      </c>
    </row>
    <row r="21" spans="1:12" x14ac:dyDescent="0.35">
      <c r="A21" t="s">
        <v>17</v>
      </c>
      <c r="B21" t="s">
        <v>366</v>
      </c>
      <c r="C21" t="s">
        <v>586</v>
      </c>
      <c r="D21" s="2" t="s">
        <v>584</v>
      </c>
      <c r="E21" s="1" t="s">
        <v>594</v>
      </c>
      <c r="F21" s="3">
        <v>34</v>
      </c>
      <c r="G21" s="4">
        <v>75000</v>
      </c>
      <c r="H21" s="5">
        <v>67</v>
      </c>
      <c r="I21" s="6">
        <v>45692</v>
      </c>
      <c r="J21" s="2" t="s">
        <v>598</v>
      </c>
      <c r="K21" s="15">
        <f>PRODUCT(Table25[[#This Row],[Ticket Price]],Table25[[#This Row],[Passenger Count]])</f>
        <v>5025000</v>
      </c>
      <c r="L21" s="15">
        <f>Table25[[#This Row],[Revenue]]*(1-$O$2)</f>
        <v>4522500</v>
      </c>
    </row>
    <row r="22" spans="1:12" x14ac:dyDescent="0.35">
      <c r="A22" t="s">
        <v>18</v>
      </c>
      <c r="B22" t="s">
        <v>367</v>
      </c>
      <c r="C22" t="s">
        <v>584</v>
      </c>
      <c r="D22" s="2" t="s">
        <v>587</v>
      </c>
      <c r="E22" s="1" t="s">
        <v>596</v>
      </c>
      <c r="F22" s="3">
        <v>97</v>
      </c>
      <c r="G22" s="4">
        <v>135000</v>
      </c>
      <c r="H22" s="5">
        <v>70</v>
      </c>
      <c r="I22" s="6">
        <v>45764</v>
      </c>
      <c r="J22" s="2" t="s">
        <v>597</v>
      </c>
      <c r="K22" s="15">
        <f>PRODUCT(Table25[[#This Row],[Ticket Price]],Table25[[#This Row],[Passenger Count]])</f>
        <v>9450000</v>
      </c>
      <c r="L22" s="15">
        <f>Table25[[#This Row],[Revenue]]*(1-$O$2)</f>
        <v>8505000</v>
      </c>
    </row>
    <row r="23" spans="1:12" x14ac:dyDescent="0.35">
      <c r="A23" t="s">
        <v>19</v>
      </c>
      <c r="B23" t="s">
        <v>368</v>
      </c>
      <c r="C23" t="s">
        <v>585</v>
      </c>
      <c r="D23" s="2" t="s">
        <v>590</v>
      </c>
      <c r="E23" s="1" t="s">
        <v>592</v>
      </c>
      <c r="F23" s="3">
        <v>136</v>
      </c>
      <c r="G23" s="4">
        <v>55000</v>
      </c>
      <c r="H23" s="5">
        <v>92</v>
      </c>
      <c r="I23" s="6">
        <v>45728</v>
      </c>
      <c r="J23" s="2" t="s">
        <v>598</v>
      </c>
      <c r="K23" s="15">
        <f>PRODUCT(Table25[[#This Row],[Ticket Price]],Table25[[#This Row],[Passenger Count]])</f>
        <v>5060000</v>
      </c>
      <c r="L23" s="15">
        <f>Table25[[#This Row],[Revenue]]*(1-$O$2)</f>
        <v>4554000</v>
      </c>
    </row>
    <row r="24" spans="1:12" x14ac:dyDescent="0.35">
      <c r="A24" t="s">
        <v>20</v>
      </c>
      <c r="B24" t="s">
        <v>369</v>
      </c>
      <c r="C24" t="s">
        <v>584</v>
      </c>
      <c r="D24" s="2" t="s">
        <v>587</v>
      </c>
      <c r="E24" s="1" t="s">
        <v>596</v>
      </c>
      <c r="F24" s="3">
        <v>164</v>
      </c>
      <c r="G24" s="4">
        <v>85000</v>
      </c>
      <c r="H24" s="5">
        <v>165</v>
      </c>
      <c r="I24" s="6">
        <v>45807</v>
      </c>
      <c r="J24" s="2" t="s">
        <v>598</v>
      </c>
      <c r="K24" s="15">
        <f>PRODUCT(Table25[[#This Row],[Ticket Price]],Table25[[#This Row],[Passenger Count]])</f>
        <v>14025000</v>
      </c>
      <c r="L24" s="15">
        <f>Table25[[#This Row],[Revenue]]*(1-$O$2)</f>
        <v>12622500</v>
      </c>
    </row>
    <row r="25" spans="1:12" x14ac:dyDescent="0.35">
      <c r="A25" t="s">
        <v>21</v>
      </c>
      <c r="B25" t="s">
        <v>370</v>
      </c>
      <c r="C25" t="s">
        <v>582</v>
      </c>
      <c r="D25" s="2" t="s">
        <v>589</v>
      </c>
      <c r="E25" s="1" t="s">
        <v>593</v>
      </c>
      <c r="F25" s="3">
        <v>68</v>
      </c>
      <c r="G25" s="4">
        <v>135000</v>
      </c>
      <c r="H25" s="5">
        <v>177</v>
      </c>
      <c r="I25" s="6">
        <v>45817</v>
      </c>
      <c r="J25" s="2" t="s">
        <v>597</v>
      </c>
      <c r="K25" s="15">
        <f>PRODUCT(Table25[[#This Row],[Ticket Price]],Table25[[#This Row],[Passenger Count]])</f>
        <v>23895000</v>
      </c>
      <c r="L25" s="15">
        <f>Table25[[#This Row],[Revenue]]*(1-$O$2)</f>
        <v>21505500</v>
      </c>
    </row>
    <row r="26" spans="1:12" x14ac:dyDescent="0.35">
      <c r="A26" t="s">
        <v>22</v>
      </c>
      <c r="B26" t="s">
        <v>371</v>
      </c>
      <c r="C26" t="s">
        <v>586</v>
      </c>
      <c r="D26" s="2" t="s">
        <v>585</v>
      </c>
      <c r="E26" s="1" t="s">
        <v>596</v>
      </c>
      <c r="F26" s="3">
        <v>144</v>
      </c>
      <c r="G26" s="4">
        <v>135000</v>
      </c>
      <c r="H26" s="5">
        <v>167</v>
      </c>
      <c r="I26" s="6">
        <v>45769</v>
      </c>
      <c r="J26" s="2" t="s">
        <v>597</v>
      </c>
      <c r="K26" s="15">
        <f>PRODUCT(Table25[[#This Row],[Ticket Price]],Table25[[#This Row],[Passenger Count]])</f>
        <v>22545000</v>
      </c>
      <c r="L26" s="15">
        <f>Table25[[#This Row],[Revenue]]*(1-$O$2)</f>
        <v>20290500</v>
      </c>
    </row>
    <row r="27" spans="1:12" x14ac:dyDescent="0.35">
      <c r="A27" t="s">
        <v>23</v>
      </c>
      <c r="B27" t="s">
        <v>372</v>
      </c>
      <c r="C27" t="s">
        <v>582</v>
      </c>
      <c r="D27" s="2" t="s">
        <v>583</v>
      </c>
      <c r="E27" s="1" t="s">
        <v>595</v>
      </c>
      <c r="F27" s="3">
        <v>7</v>
      </c>
      <c r="G27" s="4">
        <v>35000</v>
      </c>
      <c r="H27" s="5">
        <v>78</v>
      </c>
      <c r="I27" s="6">
        <v>45726</v>
      </c>
      <c r="J27" s="2" t="s">
        <v>598</v>
      </c>
      <c r="K27" s="15">
        <f>PRODUCT(Table25[[#This Row],[Ticket Price]],Table25[[#This Row],[Passenger Count]])</f>
        <v>2730000</v>
      </c>
      <c r="L27" s="15">
        <f>Table25[[#This Row],[Revenue]]*(1-$O$2)</f>
        <v>2457000</v>
      </c>
    </row>
    <row r="28" spans="1:12" x14ac:dyDescent="0.35">
      <c r="A28" t="s">
        <v>24</v>
      </c>
      <c r="B28" t="s">
        <v>373</v>
      </c>
      <c r="C28" t="s">
        <v>584</v>
      </c>
      <c r="D28" s="2" t="s">
        <v>587</v>
      </c>
      <c r="E28" s="1" t="s">
        <v>593</v>
      </c>
      <c r="F28" s="3">
        <v>122</v>
      </c>
      <c r="G28" s="4">
        <v>25000</v>
      </c>
      <c r="H28" s="5">
        <v>177</v>
      </c>
      <c r="I28" s="6">
        <v>45696</v>
      </c>
      <c r="J28" s="2" t="s">
        <v>598</v>
      </c>
      <c r="K28" s="15">
        <f>PRODUCT(Table25[[#This Row],[Ticket Price]],Table25[[#This Row],[Passenger Count]])</f>
        <v>4425000</v>
      </c>
      <c r="L28" s="15">
        <f>Table25[[#This Row],[Revenue]]*(1-$O$2)</f>
        <v>3982500</v>
      </c>
    </row>
    <row r="29" spans="1:12" x14ac:dyDescent="0.35">
      <c r="A29" t="s">
        <v>25</v>
      </c>
      <c r="B29" t="s">
        <v>374</v>
      </c>
      <c r="C29" t="s">
        <v>585</v>
      </c>
      <c r="D29" s="2" t="s">
        <v>591</v>
      </c>
      <c r="E29" s="1" t="s">
        <v>594</v>
      </c>
      <c r="F29" s="3">
        <v>6</v>
      </c>
      <c r="G29" s="4">
        <v>125000</v>
      </c>
      <c r="H29" s="5">
        <v>117</v>
      </c>
      <c r="I29" s="6">
        <v>45663</v>
      </c>
      <c r="J29" s="2" t="s">
        <v>597</v>
      </c>
      <c r="K29" s="15">
        <f>PRODUCT(Table25[[#This Row],[Ticket Price]],Table25[[#This Row],[Passenger Count]])</f>
        <v>14625000</v>
      </c>
      <c r="L29" s="15">
        <f>Table25[[#This Row],[Revenue]]*(1-$O$2)</f>
        <v>13162500</v>
      </c>
    </row>
    <row r="30" spans="1:12" x14ac:dyDescent="0.35">
      <c r="A30" t="s">
        <v>26</v>
      </c>
      <c r="B30" t="s">
        <v>375</v>
      </c>
      <c r="C30" t="s">
        <v>587</v>
      </c>
      <c r="D30" s="2" t="s">
        <v>591</v>
      </c>
      <c r="E30" s="1" t="s">
        <v>594</v>
      </c>
      <c r="F30" s="3">
        <v>128</v>
      </c>
      <c r="G30" s="4">
        <v>90000</v>
      </c>
      <c r="H30" s="5">
        <v>164</v>
      </c>
      <c r="I30" s="6">
        <v>45804</v>
      </c>
      <c r="J30" s="2" t="s">
        <v>597</v>
      </c>
      <c r="K30" s="15">
        <f>PRODUCT(Table25[[#This Row],[Ticket Price]],Table25[[#This Row],[Passenger Count]])</f>
        <v>14760000</v>
      </c>
      <c r="L30" s="15">
        <f>Table25[[#This Row],[Revenue]]*(1-$O$2)</f>
        <v>13284000</v>
      </c>
    </row>
    <row r="31" spans="1:12" x14ac:dyDescent="0.35">
      <c r="A31" t="s">
        <v>27</v>
      </c>
      <c r="B31" t="s">
        <v>376</v>
      </c>
      <c r="C31" t="s">
        <v>582</v>
      </c>
      <c r="D31" s="2" t="s">
        <v>583</v>
      </c>
      <c r="E31" s="1" t="s">
        <v>594</v>
      </c>
      <c r="F31" s="3">
        <v>41</v>
      </c>
      <c r="G31" s="4">
        <v>30000</v>
      </c>
      <c r="H31" s="5">
        <v>88</v>
      </c>
      <c r="I31" s="6">
        <v>45819</v>
      </c>
      <c r="J31" s="2" t="s">
        <v>597</v>
      </c>
      <c r="K31" s="15">
        <f>PRODUCT(Table25[[#This Row],[Ticket Price]],Table25[[#This Row],[Passenger Count]])</f>
        <v>2640000</v>
      </c>
      <c r="L31" s="15">
        <f>Table25[[#This Row],[Revenue]]*(1-$O$2)</f>
        <v>2376000</v>
      </c>
    </row>
    <row r="32" spans="1:12" x14ac:dyDescent="0.35">
      <c r="A32" t="s">
        <v>28</v>
      </c>
      <c r="B32" t="s">
        <v>377</v>
      </c>
      <c r="C32" t="s">
        <v>584</v>
      </c>
      <c r="D32" s="2" t="s">
        <v>583</v>
      </c>
      <c r="E32" s="1" t="s">
        <v>595</v>
      </c>
      <c r="F32" s="3">
        <v>99</v>
      </c>
      <c r="G32" s="4">
        <v>80000</v>
      </c>
      <c r="H32" s="5">
        <v>77</v>
      </c>
      <c r="I32" s="6">
        <v>45698</v>
      </c>
      <c r="J32" s="2" t="s">
        <v>597</v>
      </c>
      <c r="K32" s="15">
        <f>PRODUCT(Table25[[#This Row],[Ticket Price]],Table25[[#This Row],[Passenger Count]])</f>
        <v>6160000</v>
      </c>
      <c r="L32" s="15">
        <f>Table25[[#This Row],[Revenue]]*(1-$O$2)</f>
        <v>5544000</v>
      </c>
    </row>
    <row r="33" spans="1:12" x14ac:dyDescent="0.35">
      <c r="A33" t="s">
        <v>29</v>
      </c>
      <c r="B33" t="s">
        <v>378</v>
      </c>
      <c r="C33" t="s">
        <v>587</v>
      </c>
      <c r="D33" s="2" t="s">
        <v>591</v>
      </c>
      <c r="E33" s="1" t="s">
        <v>595</v>
      </c>
      <c r="F33" s="3">
        <v>4</v>
      </c>
      <c r="G33" s="4">
        <v>140000</v>
      </c>
      <c r="H33" s="5">
        <v>106</v>
      </c>
      <c r="I33" s="6">
        <v>45731</v>
      </c>
      <c r="J33" s="2" t="s">
        <v>597</v>
      </c>
      <c r="K33" s="15">
        <f>PRODUCT(Table25[[#This Row],[Ticket Price]],Table25[[#This Row],[Passenger Count]])</f>
        <v>14840000</v>
      </c>
      <c r="L33" s="15">
        <f>Table25[[#This Row],[Revenue]]*(1-$O$2)</f>
        <v>13356000</v>
      </c>
    </row>
    <row r="34" spans="1:12" x14ac:dyDescent="0.35">
      <c r="A34" t="s">
        <v>30</v>
      </c>
      <c r="B34" t="s">
        <v>379</v>
      </c>
      <c r="C34" t="s">
        <v>587</v>
      </c>
      <c r="D34" s="2" t="s">
        <v>583</v>
      </c>
      <c r="E34" s="1" t="s">
        <v>592</v>
      </c>
      <c r="F34" s="3">
        <v>32</v>
      </c>
      <c r="G34" s="4">
        <v>100000</v>
      </c>
      <c r="H34" s="5">
        <v>117</v>
      </c>
      <c r="I34" s="6">
        <v>45803</v>
      </c>
      <c r="J34" s="2" t="s">
        <v>597</v>
      </c>
      <c r="K34" s="15">
        <f>PRODUCT(Table25[[#This Row],[Ticket Price]],Table25[[#This Row],[Passenger Count]])</f>
        <v>11700000</v>
      </c>
      <c r="L34" s="15">
        <f>Table25[[#This Row],[Revenue]]*(1-$O$2)</f>
        <v>10530000</v>
      </c>
    </row>
    <row r="35" spans="1:12" x14ac:dyDescent="0.35">
      <c r="A35" t="s">
        <v>31</v>
      </c>
      <c r="B35" t="s">
        <v>380</v>
      </c>
      <c r="C35" t="s">
        <v>581</v>
      </c>
      <c r="D35" s="2" t="s">
        <v>591</v>
      </c>
      <c r="E35" s="1" t="s">
        <v>596</v>
      </c>
      <c r="F35" s="3">
        <v>177</v>
      </c>
      <c r="G35" s="4">
        <v>90000</v>
      </c>
      <c r="H35" s="5">
        <v>153</v>
      </c>
      <c r="I35" s="6">
        <v>45773</v>
      </c>
      <c r="J35" s="2" t="s">
        <v>598</v>
      </c>
      <c r="K35" s="15">
        <f>PRODUCT(Table25[[#This Row],[Ticket Price]],Table25[[#This Row],[Passenger Count]])</f>
        <v>13770000</v>
      </c>
      <c r="L35" s="15">
        <f>Table25[[#This Row],[Revenue]]*(1-$O$2)</f>
        <v>12393000</v>
      </c>
    </row>
    <row r="36" spans="1:12" x14ac:dyDescent="0.35">
      <c r="A36" t="s">
        <v>32</v>
      </c>
      <c r="B36" t="s">
        <v>381</v>
      </c>
      <c r="C36" t="s">
        <v>581</v>
      </c>
      <c r="D36" s="2" t="s">
        <v>582</v>
      </c>
      <c r="E36" s="1" t="s">
        <v>593</v>
      </c>
      <c r="F36" s="3">
        <v>110</v>
      </c>
      <c r="G36" s="4">
        <v>25000</v>
      </c>
      <c r="H36" s="5">
        <v>107</v>
      </c>
      <c r="I36" s="6">
        <v>45743</v>
      </c>
      <c r="J36" s="2" t="s">
        <v>598</v>
      </c>
      <c r="K36" s="15">
        <f>PRODUCT(Table25[[#This Row],[Ticket Price]],Table25[[#This Row],[Passenger Count]])</f>
        <v>2675000</v>
      </c>
      <c r="L36" s="15">
        <f>Table25[[#This Row],[Revenue]]*(1-$O$2)</f>
        <v>2407500</v>
      </c>
    </row>
    <row r="37" spans="1:12" x14ac:dyDescent="0.35">
      <c r="A37" t="s">
        <v>33</v>
      </c>
      <c r="B37" t="s">
        <v>382</v>
      </c>
      <c r="C37" t="s">
        <v>586</v>
      </c>
      <c r="D37" s="2" t="s">
        <v>584</v>
      </c>
      <c r="E37" s="1" t="s">
        <v>596</v>
      </c>
      <c r="F37" s="3">
        <v>95</v>
      </c>
      <c r="G37" s="4">
        <v>60000</v>
      </c>
      <c r="H37" s="5">
        <v>128</v>
      </c>
      <c r="I37" s="6">
        <v>45750</v>
      </c>
      <c r="J37" s="2" t="s">
        <v>598</v>
      </c>
      <c r="K37" s="15">
        <f>PRODUCT(Table25[[#This Row],[Ticket Price]],Table25[[#This Row],[Passenger Count]])</f>
        <v>7680000</v>
      </c>
      <c r="L37" s="15">
        <f>Table25[[#This Row],[Revenue]]*(1-$O$2)</f>
        <v>6912000</v>
      </c>
    </row>
    <row r="38" spans="1:12" x14ac:dyDescent="0.35">
      <c r="A38" t="s">
        <v>34</v>
      </c>
      <c r="B38" t="s">
        <v>348</v>
      </c>
      <c r="C38" t="s">
        <v>582</v>
      </c>
      <c r="D38" s="2" t="s">
        <v>587</v>
      </c>
      <c r="E38" s="1" t="s">
        <v>594</v>
      </c>
      <c r="F38" s="3">
        <v>69</v>
      </c>
      <c r="G38" s="4">
        <v>55000</v>
      </c>
      <c r="H38" s="5">
        <v>176</v>
      </c>
      <c r="I38" s="6">
        <v>45779</v>
      </c>
      <c r="J38" s="2" t="s">
        <v>597</v>
      </c>
      <c r="K38" s="15">
        <f>PRODUCT(Table25[[#This Row],[Ticket Price]],Table25[[#This Row],[Passenger Count]])</f>
        <v>9680000</v>
      </c>
      <c r="L38" s="15">
        <f>Table25[[#This Row],[Revenue]]*(1-$O$2)</f>
        <v>8712000</v>
      </c>
    </row>
    <row r="39" spans="1:12" x14ac:dyDescent="0.35">
      <c r="A39" t="s">
        <v>35</v>
      </c>
      <c r="B39" t="s">
        <v>356</v>
      </c>
      <c r="C39" t="s">
        <v>581</v>
      </c>
      <c r="D39" s="2" t="s">
        <v>590</v>
      </c>
      <c r="E39" s="1" t="s">
        <v>593</v>
      </c>
      <c r="F39" s="3">
        <v>34</v>
      </c>
      <c r="G39" s="4">
        <v>130000</v>
      </c>
      <c r="H39" s="5">
        <v>158</v>
      </c>
      <c r="I39" s="6">
        <v>45682</v>
      </c>
      <c r="J39" s="2" t="s">
        <v>597</v>
      </c>
      <c r="K39" s="15">
        <f>PRODUCT(Table25[[#This Row],[Ticket Price]],Table25[[#This Row],[Passenger Count]])</f>
        <v>20540000</v>
      </c>
      <c r="L39" s="15">
        <f>Table25[[#This Row],[Revenue]]*(1-$O$2)</f>
        <v>18486000</v>
      </c>
    </row>
    <row r="40" spans="1:12" x14ac:dyDescent="0.35">
      <c r="A40" t="s">
        <v>36</v>
      </c>
      <c r="B40" t="s">
        <v>383</v>
      </c>
      <c r="C40" t="s">
        <v>585</v>
      </c>
      <c r="D40" s="2" t="s">
        <v>590</v>
      </c>
      <c r="E40" s="1" t="s">
        <v>595</v>
      </c>
      <c r="F40" s="3">
        <v>98</v>
      </c>
      <c r="G40" s="4">
        <v>100000</v>
      </c>
      <c r="H40" s="5">
        <v>149</v>
      </c>
      <c r="I40" s="6">
        <v>45772</v>
      </c>
      <c r="J40" s="2" t="s">
        <v>598</v>
      </c>
      <c r="K40" s="15">
        <f>PRODUCT(Table25[[#This Row],[Ticket Price]],Table25[[#This Row],[Passenger Count]])</f>
        <v>14900000</v>
      </c>
      <c r="L40" s="15">
        <f>Table25[[#This Row],[Revenue]]*(1-$O$2)</f>
        <v>13410000</v>
      </c>
    </row>
    <row r="41" spans="1:12" x14ac:dyDescent="0.35">
      <c r="A41" t="s">
        <v>37</v>
      </c>
      <c r="B41" t="s">
        <v>384</v>
      </c>
      <c r="C41" t="s">
        <v>584</v>
      </c>
      <c r="D41" s="2" t="s">
        <v>582</v>
      </c>
      <c r="E41" s="1" t="s">
        <v>593</v>
      </c>
      <c r="F41" s="3">
        <v>101</v>
      </c>
      <c r="G41" s="4">
        <v>140000</v>
      </c>
      <c r="H41" s="5">
        <v>142</v>
      </c>
      <c r="I41" s="6">
        <v>45726</v>
      </c>
      <c r="J41" s="2" t="s">
        <v>598</v>
      </c>
      <c r="K41" s="15">
        <f>PRODUCT(Table25[[#This Row],[Ticket Price]],Table25[[#This Row],[Passenger Count]])</f>
        <v>19880000</v>
      </c>
      <c r="L41" s="15">
        <f>Table25[[#This Row],[Revenue]]*(1-$O$2)</f>
        <v>17892000</v>
      </c>
    </row>
    <row r="42" spans="1:12" x14ac:dyDescent="0.35">
      <c r="A42" t="s">
        <v>38</v>
      </c>
      <c r="B42" t="s">
        <v>385</v>
      </c>
      <c r="C42" t="s">
        <v>582</v>
      </c>
      <c r="D42" s="2" t="s">
        <v>583</v>
      </c>
      <c r="E42" s="1" t="s">
        <v>592</v>
      </c>
      <c r="F42" s="3">
        <v>94</v>
      </c>
      <c r="G42" s="4">
        <v>105000</v>
      </c>
      <c r="H42" s="5">
        <v>121</v>
      </c>
      <c r="I42" s="6">
        <v>45827</v>
      </c>
      <c r="J42" s="2" t="s">
        <v>597</v>
      </c>
      <c r="K42" s="15">
        <f>PRODUCT(Table25[[#This Row],[Ticket Price]],Table25[[#This Row],[Passenger Count]])</f>
        <v>12705000</v>
      </c>
      <c r="L42" s="15">
        <f>Table25[[#This Row],[Revenue]]*(1-$O$2)</f>
        <v>11434500</v>
      </c>
    </row>
    <row r="43" spans="1:12" x14ac:dyDescent="0.35">
      <c r="A43" t="s">
        <v>39</v>
      </c>
      <c r="B43" t="s">
        <v>374</v>
      </c>
      <c r="C43" t="s">
        <v>586</v>
      </c>
      <c r="D43" s="2" t="s">
        <v>591</v>
      </c>
      <c r="E43" s="1" t="s">
        <v>593</v>
      </c>
      <c r="F43" s="3">
        <v>7</v>
      </c>
      <c r="G43" s="4">
        <v>145000</v>
      </c>
      <c r="H43" s="5">
        <v>146</v>
      </c>
      <c r="I43" s="6">
        <v>45678</v>
      </c>
      <c r="J43" s="2" t="s">
        <v>598</v>
      </c>
      <c r="K43" s="15">
        <f>PRODUCT(Table25[[#This Row],[Ticket Price]],Table25[[#This Row],[Passenger Count]])</f>
        <v>21170000</v>
      </c>
      <c r="L43" s="15">
        <f>Table25[[#This Row],[Revenue]]*(1-$O$2)</f>
        <v>19053000</v>
      </c>
    </row>
    <row r="44" spans="1:12" x14ac:dyDescent="0.35">
      <c r="A44" t="s">
        <v>40</v>
      </c>
      <c r="B44" t="s">
        <v>386</v>
      </c>
      <c r="C44" t="s">
        <v>584</v>
      </c>
      <c r="D44" s="2" t="s">
        <v>585</v>
      </c>
      <c r="E44" s="1" t="s">
        <v>595</v>
      </c>
      <c r="F44" s="3">
        <v>173</v>
      </c>
      <c r="G44" s="4">
        <v>25000</v>
      </c>
      <c r="H44" s="5">
        <v>96</v>
      </c>
      <c r="I44" s="6">
        <v>45837</v>
      </c>
      <c r="J44" s="2" t="s">
        <v>598</v>
      </c>
      <c r="K44" s="15">
        <f>PRODUCT(Table25[[#This Row],[Ticket Price]],Table25[[#This Row],[Passenger Count]])</f>
        <v>2400000</v>
      </c>
      <c r="L44" s="15">
        <f>Table25[[#This Row],[Revenue]]*(1-$O$2)</f>
        <v>2160000</v>
      </c>
    </row>
    <row r="45" spans="1:12" x14ac:dyDescent="0.35">
      <c r="A45" t="s">
        <v>41</v>
      </c>
      <c r="B45" t="s">
        <v>387</v>
      </c>
      <c r="C45" t="s">
        <v>583</v>
      </c>
      <c r="D45" s="2" t="s">
        <v>587</v>
      </c>
      <c r="E45" s="1" t="s">
        <v>593</v>
      </c>
      <c r="F45" s="3">
        <v>22</v>
      </c>
      <c r="G45" s="4">
        <v>25000</v>
      </c>
      <c r="H45" s="5">
        <v>88</v>
      </c>
      <c r="I45" s="6">
        <v>45795</v>
      </c>
      <c r="J45" s="2" t="s">
        <v>598</v>
      </c>
      <c r="K45" s="15">
        <f>PRODUCT(Table25[[#This Row],[Ticket Price]],Table25[[#This Row],[Passenger Count]])</f>
        <v>2200000</v>
      </c>
      <c r="L45" s="15">
        <f>Table25[[#This Row],[Revenue]]*(1-$O$2)</f>
        <v>1980000</v>
      </c>
    </row>
    <row r="46" spans="1:12" x14ac:dyDescent="0.35">
      <c r="A46" t="s">
        <v>42</v>
      </c>
      <c r="B46" t="s">
        <v>388</v>
      </c>
      <c r="C46" t="s">
        <v>581</v>
      </c>
      <c r="D46" s="2" t="s">
        <v>590</v>
      </c>
      <c r="E46" s="1" t="s">
        <v>596</v>
      </c>
      <c r="F46" s="3">
        <v>23</v>
      </c>
      <c r="G46" s="4">
        <v>25000</v>
      </c>
      <c r="H46" s="5">
        <v>126</v>
      </c>
      <c r="I46" s="6">
        <v>45727</v>
      </c>
      <c r="J46" s="2" t="s">
        <v>598</v>
      </c>
      <c r="K46" s="15">
        <f>PRODUCT(Table25[[#This Row],[Ticket Price]],Table25[[#This Row],[Passenger Count]])</f>
        <v>3150000</v>
      </c>
      <c r="L46" s="15">
        <f>Table25[[#This Row],[Revenue]]*(1-$O$2)</f>
        <v>2835000</v>
      </c>
    </row>
    <row r="47" spans="1:12" x14ac:dyDescent="0.35">
      <c r="A47" t="s">
        <v>43</v>
      </c>
      <c r="B47" t="s">
        <v>389</v>
      </c>
      <c r="C47" t="s">
        <v>588</v>
      </c>
      <c r="D47" s="2" t="s">
        <v>589</v>
      </c>
      <c r="E47" s="1" t="s">
        <v>595</v>
      </c>
      <c r="F47" s="3">
        <v>93</v>
      </c>
      <c r="G47" s="4">
        <v>35000</v>
      </c>
      <c r="H47" s="5">
        <v>151</v>
      </c>
      <c r="I47" s="6">
        <v>45778</v>
      </c>
      <c r="J47" s="2" t="s">
        <v>598</v>
      </c>
      <c r="K47" s="15">
        <f>PRODUCT(Table25[[#This Row],[Ticket Price]],Table25[[#This Row],[Passenger Count]])</f>
        <v>5285000</v>
      </c>
      <c r="L47" s="15">
        <f>Table25[[#This Row],[Revenue]]*(1-$O$2)</f>
        <v>4756500</v>
      </c>
    </row>
    <row r="48" spans="1:12" x14ac:dyDescent="0.35">
      <c r="A48" t="s">
        <v>44</v>
      </c>
      <c r="B48" t="s">
        <v>390</v>
      </c>
      <c r="C48" t="s">
        <v>588</v>
      </c>
      <c r="D48" s="2" t="s">
        <v>582</v>
      </c>
      <c r="E48" s="1" t="s">
        <v>593</v>
      </c>
      <c r="F48" s="3">
        <v>157</v>
      </c>
      <c r="G48" s="4">
        <v>135000</v>
      </c>
      <c r="H48" s="5">
        <v>130</v>
      </c>
      <c r="I48" s="6">
        <v>45807</v>
      </c>
      <c r="J48" s="2" t="s">
        <v>598</v>
      </c>
      <c r="K48" s="15">
        <f>PRODUCT(Table25[[#This Row],[Ticket Price]],Table25[[#This Row],[Passenger Count]])</f>
        <v>17550000</v>
      </c>
      <c r="L48" s="15">
        <f>Table25[[#This Row],[Revenue]]*(1-$O$2)</f>
        <v>15795000</v>
      </c>
    </row>
    <row r="49" spans="1:12" x14ac:dyDescent="0.35">
      <c r="A49" t="s">
        <v>45</v>
      </c>
      <c r="B49" t="s">
        <v>391</v>
      </c>
      <c r="C49" t="s">
        <v>583</v>
      </c>
      <c r="D49" s="2" t="s">
        <v>584</v>
      </c>
      <c r="E49" s="1" t="s">
        <v>595</v>
      </c>
      <c r="F49" s="3">
        <v>22</v>
      </c>
      <c r="G49" s="4">
        <v>115000</v>
      </c>
      <c r="H49" s="5">
        <v>129</v>
      </c>
      <c r="I49" s="6">
        <v>45779</v>
      </c>
      <c r="J49" s="2" t="s">
        <v>597</v>
      </c>
      <c r="K49" s="15">
        <f>PRODUCT(Table25[[#This Row],[Ticket Price]],Table25[[#This Row],[Passenger Count]])</f>
        <v>14835000</v>
      </c>
      <c r="L49" s="15">
        <f>Table25[[#This Row],[Revenue]]*(1-$O$2)</f>
        <v>13351500</v>
      </c>
    </row>
    <row r="50" spans="1:12" x14ac:dyDescent="0.35">
      <c r="A50" t="s">
        <v>46</v>
      </c>
      <c r="B50" t="s">
        <v>392</v>
      </c>
      <c r="C50" t="s">
        <v>586</v>
      </c>
      <c r="D50" s="2" t="s">
        <v>587</v>
      </c>
      <c r="E50" s="1" t="s">
        <v>596</v>
      </c>
      <c r="F50" s="3">
        <v>118</v>
      </c>
      <c r="G50" s="4">
        <v>25000</v>
      </c>
      <c r="H50" s="5">
        <v>147</v>
      </c>
      <c r="I50" s="6">
        <v>45695</v>
      </c>
      <c r="J50" s="2" t="s">
        <v>597</v>
      </c>
      <c r="K50" s="15">
        <f>PRODUCT(Table25[[#This Row],[Ticket Price]],Table25[[#This Row],[Passenger Count]])</f>
        <v>3675000</v>
      </c>
      <c r="L50" s="15">
        <f>Table25[[#This Row],[Revenue]]*(1-$O$2)</f>
        <v>3307500</v>
      </c>
    </row>
    <row r="51" spans="1:12" x14ac:dyDescent="0.35">
      <c r="A51" t="s">
        <v>47</v>
      </c>
      <c r="B51" t="s">
        <v>393</v>
      </c>
      <c r="C51" t="s">
        <v>582</v>
      </c>
      <c r="D51" s="2" t="s">
        <v>589</v>
      </c>
      <c r="E51" s="1" t="s">
        <v>594</v>
      </c>
      <c r="F51" s="3">
        <v>166</v>
      </c>
      <c r="G51" s="4">
        <v>50000</v>
      </c>
      <c r="H51" s="5">
        <v>72</v>
      </c>
      <c r="I51" s="6">
        <v>45683</v>
      </c>
      <c r="J51" s="2" t="s">
        <v>597</v>
      </c>
      <c r="K51" s="15">
        <f>PRODUCT(Table25[[#This Row],[Ticket Price]],Table25[[#This Row],[Passenger Count]])</f>
        <v>3600000</v>
      </c>
      <c r="L51" s="15">
        <f>Table25[[#This Row],[Revenue]]*(1-$O$2)</f>
        <v>3240000</v>
      </c>
    </row>
    <row r="52" spans="1:12" x14ac:dyDescent="0.35">
      <c r="A52" t="s">
        <v>48</v>
      </c>
      <c r="B52" t="s">
        <v>394</v>
      </c>
      <c r="C52" t="s">
        <v>586</v>
      </c>
      <c r="D52" s="2" t="s">
        <v>584</v>
      </c>
      <c r="E52" s="1" t="s">
        <v>594</v>
      </c>
      <c r="F52" s="3">
        <v>18</v>
      </c>
      <c r="G52" s="4">
        <v>140000</v>
      </c>
      <c r="H52" s="5">
        <v>126</v>
      </c>
      <c r="I52" s="6">
        <v>45745</v>
      </c>
      <c r="J52" s="2" t="s">
        <v>598</v>
      </c>
      <c r="K52" s="15">
        <f>PRODUCT(Table25[[#This Row],[Ticket Price]],Table25[[#This Row],[Passenger Count]])</f>
        <v>17640000</v>
      </c>
      <c r="L52" s="15">
        <f>Table25[[#This Row],[Revenue]]*(1-$O$2)</f>
        <v>15876000</v>
      </c>
    </row>
    <row r="53" spans="1:12" x14ac:dyDescent="0.35">
      <c r="A53" t="s">
        <v>49</v>
      </c>
      <c r="B53" t="s">
        <v>395</v>
      </c>
      <c r="C53" t="s">
        <v>588</v>
      </c>
      <c r="D53" s="2" t="s">
        <v>587</v>
      </c>
      <c r="E53" s="1" t="s">
        <v>592</v>
      </c>
      <c r="F53" s="3">
        <v>44</v>
      </c>
      <c r="G53" s="4">
        <v>140000</v>
      </c>
      <c r="H53" s="5">
        <v>80</v>
      </c>
      <c r="I53" s="6">
        <v>45672</v>
      </c>
      <c r="J53" s="2" t="s">
        <v>598</v>
      </c>
      <c r="K53" s="15">
        <f>PRODUCT(Table25[[#This Row],[Ticket Price]],Table25[[#This Row],[Passenger Count]])</f>
        <v>11200000</v>
      </c>
      <c r="L53" s="15">
        <f>Table25[[#This Row],[Revenue]]*(1-$O$2)</f>
        <v>10080000</v>
      </c>
    </row>
    <row r="54" spans="1:12" x14ac:dyDescent="0.35">
      <c r="A54" t="s">
        <v>50</v>
      </c>
      <c r="B54" t="s">
        <v>396</v>
      </c>
      <c r="C54" t="s">
        <v>585</v>
      </c>
      <c r="D54" s="2" t="s">
        <v>582</v>
      </c>
      <c r="E54" s="1" t="s">
        <v>594</v>
      </c>
      <c r="F54" s="3">
        <v>50</v>
      </c>
      <c r="G54" s="4">
        <v>110000</v>
      </c>
      <c r="H54" s="5">
        <v>99</v>
      </c>
      <c r="I54" s="6">
        <v>45770</v>
      </c>
      <c r="J54" s="2" t="s">
        <v>598</v>
      </c>
      <c r="K54" s="15">
        <f>PRODUCT(Table25[[#This Row],[Ticket Price]],Table25[[#This Row],[Passenger Count]])</f>
        <v>10890000</v>
      </c>
      <c r="L54" s="15">
        <f>Table25[[#This Row],[Revenue]]*(1-$O$2)</f>
        <v>9801000</v>
      </c>
    </row>
    <row r="55" spans="1:12" x14ac:dyDescent="0.35">
      <c r="A55" t="s">
        <v>51</v>
      </c>
      <c r="B55" t="s">
        <v>397</v>
      </c>
      <c r="C55" t="s">
        <v>586</v>
      </c>
      <c r="D55" s="2" t="s">
        <v>584</v>
      </c>
      <c r="E55" s="1" t="s">
        <v>596</v>
      </c>
      <c r="F55" s="3">
        <v>1</v>
      </c>
      <c r="G55" s="4">
        <v>90000</v>
      </c>
      <c r="H55" s="5">
        <v>155</v>
      </c>
      <c r="I55" s="6">
        <v>45804</v>
      </c>
      <c r="J55" s="2" t="s">
        <v>598</v>
      </c>
      <c r="K55" s="15">
        <f>PRODUCT(Table25[[#This Row],[Ticket Price]],Table25[[#This Row],[Passenger Count]])</f>
        <v>13950000</v>
      </c>
      <c r="L55" s="15">
        <f>Table25[[#This Row],[Revenue]]*(1-$O$2)</f>
        <v>12555000</v>
      </c>
    </row>
    <row r="56" spans="1:12" x14ac:dyDescent="0.35">
      <c r="A56" t="s">
        <v>52</v>
      </c>
      <c r="B56" t="s">
        <v>365</v>
      </c>
      <c r="C56" t="s">
        <v>588</v>
      </c>
      <c r="D56" s="2" t="s">
        <v>583</v>
      </c>
      <c r="E56" s="1" t="s">
        <v>593</v>
      </c>
      <c r="F56" s="3">
        <v>19</v>
      </c>
      <c r="G56" s="4">
        <v>110000</v>
      </c>
      <c r="H56" s="5">
        <v>129</v>
      </c>
      <c r="I56" s="6">
        <v>45683</v>
      </c>
      <c r="J56" s="2" t="s">
        <v>598</v>
      </c>
      <c r="K56" s="15">
        <f>PRODUCT(Table25[[#This Row],[Ticket Price]],Table25[[#This Row],[Passenger Count]])</f>
        <v>14190000</v>
      </c>
      <c r="L56" s="15">
        <f>Table25[[#This Row],[Revenue]]*(1-$O$2)</f>
        <v>12771000</v>
      </c>
    </row>
    <row r="57" spans="1:12" x14ac:dyDescent="0.35">
      <c r="A57" t="s">
        <v>53</v>
      </c>
      <c r="B57" t="s">
        <v>398</v>
      </c>
      <c r="C57" t="s">
        <v>587</v>
      </c>
      <c r="D57" s="2" t="s">
        <v>584</v>
      </c>
      <c r="E57" s="1" t="s">
        <v>595</v>
      </c>
      <c r="F57" s="3">
        <v>18</v>
      </c>
      <c r="G57" s="4">
        <v>95000</v>
      </c>
      <c r="H57" s="5">
        <v>133</v>
      </c>
      <c r="I57" s="6">
        <v>45661</v>
      </c>
      <c r="J57" s="2" t="s">
        <v>598</v>
      </c>
      <c r="K57" s="15">
        <f>PRODUCT(Table25[[#This Row],[Ticket Price]],Table25[[#This Row],[Passenger Count]])</f>
        <v>12635000</v>
      </c>
      <c r="L57" s="15">
        <f>Table25[[#This Row],[Revenue]]*(1-$O$2)</f>
        <v>11371500</v>
      </c>
    </row>
    <row r="58" spans="1:12" x14ac:dyDescent="0.35">
      <c r="A58" t="s">
        <v>54</v>
      </c>
      <c r="B58" t="s">
        <v>379</v>
      </c>
      <c r="C58" t="s">
        <v>587</v>
      </c>
      <c r="D58" s="2" t="s">
        <v>585</v>
      </c>
      <c r="E58" s="1" t="s">
        <v>595</v>
      </c>
      <c r="F58" s="3">
        <v>130</v>
      </c>
      <c r="G58" s="4">
        <v>75000</v>
      </c>
      <c r="H58" s="5">
        <v>159</v>
      </c>
      <c r="I58" s="6">
        <v>45728</v>
      </c>
      <c r="J58" s="2" t="s">
        <v>597</v>
      </c>
      <c r="K58" s="15">
        <f>PRODUCT(Table25[[#This Row],[Ticket Price]],Table25[[#This Row],[Passenger Count]])</f>
        <v>11925000</v>
      </c>
      <c r="L58" s="15">
        <f>Table25[[#This Row],[Revenue]]*(1-$O$2)</f>
        <v>10732500</v>
      </c>
    </row>
    <row r="59" spans="1:12" x14ac:dyDescent="0.35">
      <c r="A59" t="s">
        <v>55</v>
      </c>
      <c r="B59" t="s">
        <v>399</v>
      </c>
      <c r="C59" t="s">
        <v>587</v>
      </c>
      <c r="D59" s="2" t="s">
        <v>585</v>
      </c>
      <c r="E59" s="1" t="s">
        <v>595</v>
      </c>
      <c r="F59" s="3">
        <v>27</v>
      </c>
      <c r="G59" s="4">
        <v>145000</v>
      </c>
      <c r="H59" s="5">
        <v>98</v>
      </c>
      <c r="I59" s="6">
        <v>45710</v>
      </c>
      <c r="J59" s="2" t="s">
        <v>597</v>
      </c>
      <c r="K59" s="15">
        <f>PRODUCT(Table25[[#This Row],[Ticket Price]],Table25[[#This Row],[Passenger Count]])</f>
        <v>14210000</v>
      </c>
      <c r="L59" s="15">
        <f>Table25[[#This Row],[Revenue]]*(1-$O$2)</f>
        <v>12789000</v>
      </c>
    </row>
    <row r="60" spans="1:12" x14ac:dyDescent="0.35">
      <c r="A60" t="s">
        <v>56</v>
      </c>
      <c r="B60" t="s">
        <v>400</v>
      </c>
      <c r="C60" t="s">
        <v>585</v>
      </c>
      <c r="D60" s="2" t="s">
        <v>591</v>
      </c>
      <c r="E60" s="1" t="s">
        <v>594</v>
      </c>
      <c r="F60" s="3">
        <v>31</v>
      </c>
      <c r="G60" s="4">
        <v>65000</v>
      </c>
      <c r="H60" s="5">
        <v>148</v>
      </c>
      <c r="I60" s="6">
        <v>45679</v>
      </c>
      <c r="J60" s="2" t="s">
        <v>597</v>
      </c>
      <c r="K60" s="15">
        <f>PRODUCT(Table25[[#This Row],[Ticket Price]],Table25[[#This Row],[Passenger Count]])</f>
        <v>9620000</v>
      </c>
      <c r="L60" s="15">
        <f>Table25[[#This Row],[Revenue]]*(1-$O$2)</f>
        <v>8658000</v>
      </c>
    </row>
    <row r="61" spans="1:12" x14ac:dyDescent="0.35">
      <c r="A61" t="s">
        <v>57</v>
      </c>
      <c r="B61" t="s">
        <v>401</v>
      </c>
      <c r="C61" t="s">
        <v>581</v>
      </c>
      <c r="D61" s="2" t="s">
        <v>591</v>
      </c>
      <c r="E61" s="1" t="s">
        <v>592</v>
      </c>
      <c r="F61" s="3">
        <v>131</v>
      </c>
      <c r="G61" s="4">
        <v>100000</v>
      </c>
      <c r="H61" s="5">
        <v>87</v>
      </c>
      <c r="I61" s="6">
        <v>45721</v>
      </c>
      <c r="J61" s="2" t="s">
        <v>597</v>
      </c>
      <c r="K61" s="15">
        <f>PRODUCT(Table25[[#This Row],[Ticket Price]],Table25[[#This Row],[Passenger Count]])</f>
        <v>8700000</v>
      </c>
      <c r="L61" s="15">
        <f>Table25[[#This Row],[Revenue]]*(1-$O$2)</f>
        <v>7830000</v>
      </c>
    </row>
    <row r="62" spans="1:12" x14ac:dyDescent="0.35">
      <c r="A62" t="s">
        <v>58</v>
      </c>
      <c r="B62" t="s">
        <v>402</v>
      </c>
      <c r="C62" t="s">
        <v>583</v>
      </c>
      <c r="D62" s="2" t="s">
        <v>590</v>
      </c>
      <c r="E62" s="1" t="s">
        <v>594</v>
      </c>
      <c r="F62" s="3">
        <v>82</v>
      </c>
      <c r="G62" s="4">
        <v>150000</v>
      </c>
      <c r="H62" s="5">
        <v>153</v>
      </c>
      <c r="I62" s="6">
        <v>45779</v>
      </c>
      <c r="J62" s="2" t="s">
        <v>597</v>
      </c>
      <c r="K62" s="15">
        <f>PRODUCT(Table25[[#This Row],[Ticket Price]],Table25[[#This Row],[Passenger Count]])</f>
        <v>22950000</v>
      </c>
      <c r="L62" s="15">
        <f>Table25[[#This Row],[Revenue]]*(1-$O$2)</f>
        <v>20655000</v>
      </c>
    </row>
    <row r="63" spans="1:12" x14ac:dyDescent="0.35">
      <c r="A63" t="s">
        <v>59</v>
      </c>
      <c r="B63" t="s">
        <v>403</v>
      </c>
      <c r="C63" t="s">
        <v>588</v>
      </c>
      <c r="D63" s="2" t="s">
        <v>590</v>
      </c>
      <c r="E63" s="1" t="s">
        <v>592</v>
      </c>
      <c r="F63" s="3">
        <v>54</v>
      </c>
      <c r="G63" s="4">
        <v>120000</v>
      </c>
      <c r="H63" s="5">
        <v>113</v>
      </c>
      <c r="I63" s="6">
        <v>45830</v>
      </c>
      <c r="J63" s="2" t="s">
        <v>597</v>
      </c>
      <c r="K63" s="15">
        <f>PRODUCT(Table25[[#This Row],[Ticket Price]],Table25[[#This Row],[Passenger Count]])</f>
        <v>13560000</v>
      </c>
      <c r="L63" s="15">
        <f>Table25[[#This Row],[Revenue]]*(1-$O$2)</f>
        <v>12204000</v>
      </c>
    </row>
    <row r="64" spans="1:12" x14ac:dyDescent="0.35">
      <c r="A64" t="s">
        <v>60</v>
      </c>
      <c r="B64" t="s">
        <v>404</v>
      </c>
      <c r="C64" t="s">
        <v>584</v>
      </c>
      <c r="D64" s="2" t="s">
        <v>589</v>
      </c>
      <c r="E64" s="1" t="s">
        <v>592</v>
      </c>
      <c r="F64" s="3">
        <v>92</v>
      </c>
      <c r="G64" s="4">
        <v>100000</v>
      </c>
      <c r="H64" s="5">
        <v>93</v>
      </c>
      <c r="I64" s="6">
        <v>45718</v>
      </c>
      <c r="J64" s="2" t="s">
        <v>597</v>
      </c>
      <c r="K64" s="15">
        <f>PRODUCT(Table25[[#This Row],[Ticket Price]],Table25[[#This Row],[Passenger Count]])</f>
        <v>9300000</v>
      </c>
      <c r="L64" s="15">
        <f>Table25[[#This Row],[Revenue]]*(1-$O$2)</f>
        <v>8370000</v>
      </c>
    </row>
    <row r="65" spans="1:12" x14ac:dyDescent="0.35">
      <c r="A65" t="s">
        <v>61</v>
      </c>
      <c r="B65" t="s">
        <v>405</v>
      </c>
      <c r="C65" t="s">
        <v>582</v>
      </c>
      <c r="D65" s="2" t="s">
        <v>585</v>
      </c>
      <c r="E65" s="1" t="s">
        <v>594</v>
      </c>
      <c r="F65" s="3">
        <v>122</v>
      </c>
      <c r="G65" s="4">
        <v>45000</v>
      </c>
      <c r="H65" s="5">
        <v>63</v>
      </c>
      <c r="I65" s="6">
        <v>45764</v>
      </c>
      <c r="J65" s="2" t="s">
        <v>597</v>
      </c>
      <c r="K65" s="15">
        <f>PRODUCT(Table25[[#This Row],[Ticket Price]],Table25[[#This Row],[Passenger Count]])</f>
        <v>2835000</v>
      </c>
      <c r="L65" s="15">
        <f>Table25[[#This Row],[Revenue]]*(1-$O$2)</f>
        <v>2551500</v>
      </c>
    </row>
    <row r="66" spans="1:12" x14ac:dyDescent="0.35">
      <c r="A66" t="s">
        <v>62</v>
      </c>
      <c r="B66" t="s">
        <v>406</v>
      </c>
      <c r="C66" t="s">
        <v>582</v>
      </c>
      <c r="D66" s="2" t="s">
        <v>590</v>
      </c>
      <c r="E66" s="1" t="s">
        <v>594</v>
      </c>
      <c r="F66" s="3">
        <v>107</v>
      </c>
      <c r="G66" s="4">
        <v>145000</v>
      </c>
      <c r="H66" s="5">
        <v>85</v>
      </c>
      <c r="I66" s="6">
        <v>45667</v>
      </c>
      <c r="J66" s="2" t="s">
        <v>598</v>
      </c>
      <c r="K66" s="15">
        <f>PRODUCT(Table25[[#This Row],[Ticket Price]],Table25[[#This Row],[Passenger Count]])</f>
        <v>12325000</v>
      </c>
      <c r="L66" s="15">
        <f>Table25[[#This Row],[Revenue]]*(1-$O$2)</f>
        <v>11092500</v>
      </c>
    </row>
    <row r="67" spans="1:12" x14ac:dyDescent="0.35">
      <c r="A67" t="s">
        <v>63</v>
      </c>
      <c r="B67" t="s">
        <v>384</v>
      </c>
      <c r="C67" t="s">
        <v>587</v>
      </c>
      <c r="D67" s="2" t="s">
        <v>584</v>
      </c>
      <c r="E67" s="1" t="s">
        <v>593</v>
      </c>
      <c r="F67" s="3">
        <v>67</v>
      </c>
      <c r="G67" s="4">
        <v>100000</v>
      </c>
      <c r="H67" s="5">
        <v>65</v>
      </c>
      <c r="I67" s="6">
        <v>45715</v>
      </c>
      <c r="J67" s="2" t="s">
        <v>598</v>
      </c>
      <c r="K67" s="15">
        <f>PRODUCT(Table25[[#This Row],[Ticket Price]],Table25[[#This Row],[Passenger Count]])</f>
        <v>6500000</v>
      </c>
      <c r="L67" s="15">
        <f>Table25[[#This Row],[Revenue]]*(1-$O$2)</f>
        <v>5850000</v>
      </c>
    </row>
    <row r="68" spans="1:12" x14ac:dyDescent="0.35">
      <c r="A68" t="s">
        <v>64</v>
      </c>
      <c r="B68" t="s">
        <v>407</v>
      </c>
      <c r="C68" t="s">
        <v>583</v>
      </c>
      <c r="D68" s="2" t="s">
        <v>591</v>
      </c>
      <c r="E68" s="1" t="s">
        <v>592</v>
      </c>
      <c r="F68" s="3">
        <v>-1</v>
      </c>
      <c r="G68" s="4">
        <v>150000</v>
      </c>
      <c r="H68" s="5">
        <v>133</v>
      </c>
      <c r="I68" s="6">
        <v>45695</v>
      </c>
      <c r="J68" s="2" t="s">
        <v>598</v>
      </c>
      <c r="K68" s="15">
        <f>PRODUCT(Table25[[#This Row],[Ticket Price]],Table25[[#This Row],[Passenger Count]])</f>
        <v>19950000</v>
      </c>
      <c r="L68" s="15">
        <f>Table25[[#This Row],[Revenue]]*(1-$O$2)</f>
        <v>17955000</v>
      </c>
    </row>
    <row r="69" spans="1:12" x14ac:dyDescent="0.35">
      <c r="A69" t="s">
        <v>65</v>
      </c>
      <c r="B69" t="s">
        <v>390</v>
      </c>
      <c r="C69" t="s">
        <v>584</v>
      </c>
      <c r="D69" s="2" t="s">
        <v>587</v>
      </c>
      <c r="E69" s="1" t="s">
        <v>596</v>
      </c>
      <c r="F69" s="3">
        <v>24</v>
      </c>
      <c r="G69" s="4">
        <v>65000</v>
      </c>
      <c r="H69" s="5">
        <v>156</v>
      </c>
      <c r="I69" s="6">
        <v>45680</v>
      </c>
      <c r="J69" s="2" t="s">
        <v>597</v>
      </c>
      <c r="K69" s="15">
        <f>PRODUCT(Table25[[#This Row],[Ticket Price]],Table25[[#This Row],[Passenger Count]])</f>
        <v>10140000</v>
      </c>
      <c r="L69" s="15">
        <f>Table25[[#This Row],[Revenue]]*(1-$O$2)</f>
        <v>9126000</v>
      </c>
    </row>
    <row r="70" spans="1:12" x14ac:dyDescent="0.35">
      <c r="A70" t="s">
        <v>66</v>
      </c>
      <c r="B70" t="s">
        <v>408</v>
      </c>
      <c r="C70" t="s">
        <v>585</v>
      </c>
      <c r="D70" s="2" t="s">
        <v>584</v>
      </c>
      <c r="E70" s="1" t="s">
        <v>595</v>
      </c>
      <c r="F70" s="3">
        <v>54</v>
      </c>
      <c r="G70" s="4">
        <v>80000</v>
      </c>
      <c r="H70" s="5">
        <v>66</v>
      </c>
      <c r="I70" s="6">
        <v>45780</v>
      </c>
      <c r="J70" s="2" t="s">
        <v>597</v>
      </c>
      <c r="K70" s="15">
        <f>PRODUCT(Table25[[#This Row],[Ticket Price]],Table25[[#This Row],[Passenger Count]])</f>
        <v>5280000</v>
      </c>
      <c r="L70" s="15">
        <f>Table25[[#This Row],[Revenue]]*(1-$O$2)</f>
        <v>4752000</v>
      </c>
    </row>
    <row r="71" spans="1:12" x14ac:dyDescent="0.35">
      <c r="A71" t="s">
        <v>67</v>
      </c>
      <c r="B71" t="s">
        <v>399</v>
      </c>
      <c r="C71" t="s">
        <v>585</v>
      </c>
      <c r="D71" s="2" t="s">
        <v>590</v>
      </c>
      <c r="E71" s="1" t="s">
        <v>596</v>
      </c>
      <c r="F71" s="3">
        <v>72</v>
      </c>
      <c r="G71" s="4">
        <v>40000</v>
      </c>
      <c r="H71" s="5">
        <v>97</v>
      </c>
      <c r="I71" s="6">
        <v>45665</v>
      </c>
      <c r="J71" s="2" t="s">
        <v>598</v>
      </c>
      <c r="K71" s="15">
        <f>PRODUCT(Table25[[#This Row],[Ticket Price]],Table25[[#This Row],[Passenger Count]])</f>
        <v>3880000</v>
      </c>
      <c r="L71" s="15">
        <f>Table25[[#This Row],[Revenue]]*(1-$O$2)</f>
        <v>3492000</v>
      </c>
    </row>
    <row r="72" spans="1:12" x14ac:dyDescent="0.35">
      <c r="A72" t="s">
        <v>68</v>
      </c>
      <c r="B72" t="s">
        <v>409</v>
      </c>
      <c r="C72" t="s">
        <v>583</v>
      </c>
      <c r="D72" s="2" t="s">
        <v>584</v>
      </c>
      <c r="E72" s="1" t="s">
        <v>595</v>
      </c>
      <c r="F72" s="3">
        <v>122</v>
      </c>
      <c r="G72" s="4">
        <v>140000</v>
      </c>
      <c r="H72" s="5">
        <v>177</v>
      </c>
      <c r="I72" s="6">
        <v>45828</v>
      </c>
      <c r="J72" s="2" t="s">
        <v>597</v>
      </c>
      <c r="K72" s="15">
        <f>PRODUCT(Table25[[#This Row],[Ticket Price]],Table25[[#This Row],[Passenger Count]])</f>
        <v>24780000</v>
      </c>
      <c r="L72" s="15">
        <f>Table25[[#This Row],[Revenue]]*(1-$O$2)</f>
        <v>22302000</v>
      </c>
    </row>
    <row r="73" spans="1:12" x14ac:dyDescent="0.35">
      <c r="A73" t="s">
        <v>69</v>
      </c>
      <c r="B73" t="s">
        <v>410</v>
      </c>
      <c r="C73" t="s">
        <v>584</v>
      </c>
      <c r="D73" s="2" t="s">
        <v>591</v>
      </c>
      <c r="E73" s="1" t="s">
        <v>596</v>
      </c>
      <c r="F73" s="3">
        <v>54</v>
      </c>
      <c r="G73" s="4">
        <v>35000</v>
      </c>
      <c r="H73" s="5">
        <v>127</v>
      </c>
      <c r="I73" s="6">
        <v>45776</v>
      </c>
      <c r="J73" s="2" t="s">
        <v>597</v>
      </c>
      <c r="K73" s="15">
        <f>PRODUCT(Table25[[#This Row],[Ticket Price]],Table25[[#This Row],[Passenger Count]])</f>
        <v>4445000</v>
      </c>
      <c r="L73" s="15">
        <f>Table25[[#This Row],[Revenue]]*(1-$O$2)</f>
        <v>4000500</v>
      </c>
    </row>
    <row r="74" spans="1:12" x14ac:dyDescent="0.35">
      <c r="A74" t="s">
        <v>70</v>
      </c>
      <c r="B74" t="s">
        <v>411</v>
      </c>
      <c r="C74" t="s">
        <v>588</v>
      </c>
      <c r="D74" s="2" t="s">
        <v>584</v>
      </c>
      <c r="E74" s="1" t="s">
        <v>595</v>
      </c>
      <c r="F74" s="3">
        <v>104</v>
      </c>
      <c r="G74" s="4">
        <v>135000</v>
      </c>
      <c r="H74" s="5">
        <v>174</v>
      </c>
      <c r="I74" s="6">
        <v>45742</v>
      </c>
      <c r="J74" s="2" t="s">
        <v>597</v>
      </c>
      <c r="K74" s="15">
        <f>PRODUCT(Table25[[#This Row],[Ticket Price]],Table25[[#This Row],[Passenger Count]])</f>
        <v>23490000</v>
      </c>
      <c r="L74" s="15">
        <f>Table25[[#This Row],[Revenue]]*(1-$O$2)</f>
        <v>21141000</v>
      </c>
    </row>
    <row r="75" spans="1:12" x14ac:dyDescent="0.35">
      <c r="A75" t="s">
        <v>71</v>
      </c>
      <c r="B75" t="s">
        <v>412</v>
      </c>
      <c r="C75" t="s">
        <v>584</v>
      </c>
      <c r="D75" s="2" t="s">
        <v>587</v>
      </c>
      <c r="E75" s="1" t="s">
        <v>596</v>
      </c>
      <c r="F75" s="3">
        <v>137</v>
      </c>
      <c r="G75" s="4">
        <v>55000</v>
      </c>
      <c r="H75" s="5">
        <v>169</v>
      </c>
      <c r="I75" s="6">
        <v>45660</v>
      </c>
      <c r="J75" s="2" t="s">
        <v>598</v>
      </c>
      <c r="K75" s="15">
        <f>PRODUCT(Table25[[#This Row],[Ticket Price]],Table25[[#This Row],[Passenger Count]])</f>
        <v>9295000</v>
      </c>
      <c r="L75" s="15">
        <f>Table25[[#This Row],[Revenue]]*(1-$O$2)</f>
        <v>8365500</v>
      </c>
    </row>
    <row r="76" spans="1:12" x14ac:dyDescent="0.35">
      <c r="A76" t="s">
        <v>72</v>
      </c>
      <c r="B76" t="s">
        <v>413</v>
      </c>
      <c r="C76" t="s">
        <v>581</v>
      </c>
      <c r="D76" s="2" t="s">
        <v>587</v>
      </c>
      <c r="E76" s="1" t="s">
        <v>593</v>
      </c>
      <c r="F76" s="3">
        <v>67</v>
      </c>
      <c r="G76" s="4">
        <v>50000</v>
      </c>
      <c r="H76" s="5">
        <v>87</v>
      </c>
      <c r="I76" s="6">
        <v>45799</v>
      </c>
      <c r="J76" s="2" t="s">
        <v>597</v>
      </c>
      <c r="K76" s="15">
        <f>PRODUCT(Table25[[#This Row],[Ticket Price]],Table25[[#This Row],[Passenger Count]])</f>
        <v>4350000</v>
      </c>
      <c r="L76" s="15">
        <f>Table25[[#This Row],[Revenue]]*(1-$O$2)</f>
        <v>3915000</v>
      </c>
    </row>
    <row r="77" spans="1:12" x14ac:dyDescent="0.35">
      <c r="A77" t="s">
        <v>73</v>
      </c>
      <c r="B77" t="s">
        <v>414</v>
      </c>
      <c r="C77" t="s">
        <v>581</v>
      </c>
      <c r="D77" s="2" t="s">
        <v>584</v>
      </c>
      <c r="E77" s="1" t="s">
        <v>593</v>
      </c>
      <c r="F77" s="3">
        <v>128</v>
      </c>
      <c r="G77" s="4">
        <v>90000</v>
      </c>
      <c r="H77" s="5">
        <v>80</v>
      </c>
      <c r="I77" s="6">
        <v>45814</v>
      </c>
      <c r="J77" s="2" t="s">
        <v>597</v>
      </c>
      <c r="K77" s="15">
        <f>PRODUCT(Table25[[#This Row],[Ticket Price]],Table25[[#This Row],[Passenger Count]])</f>
        <v>7200000</v>
      </c>
      <c r="L77" s="15">
        <f>Table25[[#This Row],[Revenue]]*(1-$O$2)</f>
        <v>6480000</v>
      </c>
    </row>
    <row r="78" spans="1:12" x14ac:dyDescent="0.35">
      <c r="A78" t="s">
        <v>74</v>
      </c>
      <c r="B78" t="s">
        <v>415</v>
      </c>
      <c r="C78" t="s">
        <v>588</v>
      </c>
      <c r="D78" s="2" t="s">
        <v>591</v>
      </c>
      <c r="E78" s="1" t="s">
        <v>593</v>
      </c>
      <c r="F78" s="3">
        <v>106</v>
      </c>
      <c r="G78" s="4">
        <v>75000</v>
      </c>
      <c r="H78" s="5">
        <v>126</v>
      </c>
      <c r="I78" s="6">
        <v>45661</v>
      </c>
      <c r="J78" s="2" t="s">
        <v>598</v>
      </c>
      <c r="K78" s="15">
        <f>PRODUCT(Table25[[#This Row],[Ticket Price]],Table25[[#This Row],[Passenger Count]])</f>
        <v>9450000</v>
      </c>
      <c r="L78" s="15">
        <f>Table25[[#This Row],[Revenue]]*(1-$O$2)</f>
        <v>8505000</v>
      </c>
    </row>
    <row r="79" spans="1:12" x14ac:dyDescent="0.35">
      <c r="A79" t="s">
        <v>75</v>
      </c>
      <c r="B79" t="s">
        <v>416</v>
      </c>
      <c r="C79" t="s">
        <v>584</v>
      </c>
      <c r="D79" s="2" t="s">
        <v>591</v>
      </c>
      <c r="E79" s="1" t="s">
        <v>596</v>
      </c>
      <c r="F79" s="3">
        <v>23</v>
      </c>
      <c r="G79" s="4">
        <v>60000</v>
      </c>
      <c r="H79" s="5">
        <v>146</v>
      </c>
      <c r="I79" s="6">
        <v>45703</v>
      </c>
      <c r="J79" s="2" t="s">
        <v>597</v>
      </c>
      <c r="K79" s="15">
        <f>PRODUCT(Table25[[#This Row],[Ticket Price]],Table25[[#This Row],[Passenger Count]])</f>
        <v>8760000</v>
      </c>
      <c r="L79" s="15">
        <f>Table25[[#This Row],[Revenue]]*(1-$O$2)</f>
        <v>7884000</v>
      </c>
    </row>
    <row r="80" spans="1:12" x14ac:dyDescent="0.35">
      <c r="A80" t="s">
        <v>76</v>
      </c>
      <c r="B80" t="s">
        <v>417</v>
      </c>
      <c r="C80" t="s">
        <v>581</v>
      </c>
      <c r="D80" s="2" t="s">
        <v>585</v>
      </c>
      <c r="E80" s="1" t="s">
        <v>592</v>
      </c>
      <c r="F80" s="3">
        <v>52</v>
      </c>
      <c r="G80" s="4">
        <v>115000</v>
      </c>
      <c r="H80" s="5">
        <v>115</v>
      </c>
      <c r="I80" s="6">
        <v>45777</v>
      </c>
      <c r="J80" s="2" t="s">
        <v>598</v>
      </c>
      <c r="K80" s="15">
        <f>PRODUCT(Table25[[#This Row],[Ticket Price]],Table25[[#This Row],[Passenger Count]])</f>
        <v>13225000</v>
      </c>
      <c r="L80" s="15">
        <f>Table25[[#This Row],[Revenue]]*(1-$O$2)</f>
        <v>11902500</v>
      </c>
    </row>
    <row r="81" spans="1:12" x14ac:dyDescent="0.35">
      <c r="A81" t="s">
        <v>77</v>
      </c>
      <c r="B81" t="s">
        <v>418</v>
      </c>
      <c r="C81" t="s">
        <v>584</v>
      </c>
      <c r="D81" s="2" t="s">
        <v>589</v>
      </c>
      <c r="E81" s="1" t="s">
        <v>592</v>
      </c>
      <c r="F81" s="3">
        <v>49</v>
      </c>
      <c r="G81" s="4">
        <v>135000</v>
      </c>
      <c r="H81" s="5">
        <v>151</v>
      </c>
      <c r="I81" s="6">
        <v>45774</v>
      </c>
      <c r="J81" s="2" t="s">
        <v>598</v>
      </c>
      <c r="K81" s="15">
        <f>PRODUCT(Table25[[#This Row],[Ticket Price]],Table25[[#This Row],[Passenger Count]])</f>
        <v>20385000</v>
      </c>
      <c r="L81" s="15">
        <f>Table25[[#This Row],[Revenue]]*(1-$O$2)</f>
        <v>18346500</v>
      </c>
    </row>
    <row r="82" spans="1:12" x14ac:dyDescent="0.35">
      <c r="A82" t="s">
        <v>78</v>
      </c>
      <c r="B82" t="s">
        <v>364</v>
      </c>
      <c r="C82" t="s">
        <v>581</v>
      </c>
      <c r="D82" s="2" t="s">
        <v>583</v>
      </c>
      <c r="E82" s="1" t="s">
        <v>592</v>
      </c>
      <c r="F82" s="3">
        <v>60</v>
      </c>
      <c r="G82" s="4">
        <v>80000</v>
      </c>
      <c r="H82" s="5">
        <v>169</v>
      </c>
      <c r="I82" s="6">
        <v>45717</v>
      </c>
      <c r="J82" s="2" t="s">
        <v>597</v>
      </c>
      <c r="K82" s="15">
        <f>PRODUCT(Table25[[#This Row],[Ticket Price]],Table25[[#This Row],[Passenger Count]])</f>
        <v>13520000</v>
      </c>
      <c r="L82" s="15">
        <f>Table25[[#This Row],[Revenue]]*(1-$O$2)</f>
        <v>12168000</v>
      </c>
    </row>
    <row r="83" spans="1:12" x14ac:dyDescent="0.35">
      <c r="A83" t="s">
        <v>79</v>
      </c>
      <c r="B83" t="s">
        <v>363</v>
      </c>
      <c r="C83" t="s">
        <v>582</v>
      </c>
      <c r="D83" s="2" t="s">
        <v>585</v>
      </c>
      <c r="E83" s="1" t="s">
        <v>593</v>
      </c>
      <c r="F83" s="3">
        <v>144</v>
      </c>
      <c r="G83" s="4">
        <v>85000</v>
      </c>
      <c r="H83" s="5">
        <v>148</v>
      </c>
      <c r="I83" s="6">
        <v>45684</v>
      </c>
      <c r="J83" s="2" t="s">
        <v>598</v>
      </c>
      <c r="K83" s="15">
        <f>PRODUCT(Table25[[#This Row],[Ticket Price]],Table25[[#This Row],[Passenger Count]])</f>
        <v>12580000</v>
      </c>
      <c r="L83" s="15">
        <f>Table25[[#This Row],[Revenue]]*(1-$O$2)</f>
        <v>11322000</v>
      </c>
    </row>
    <row r="84" spans="1:12" x14ac:dyDescent="0.35">
      <c r="A84" t="s">
        <v>80</v>
      </c>
      <c r="B84" t="s">
        <v>419</v>
      </c>
      <c r="C84" t="s">
        <v>581</v>
      </c>
      <c r="D84" s="2" t="s">
        <v>583</v>
      </c>
      <c r="E84" s="1" t="s">
        <v>593</v>
      </c>
      <c r="F84" s="3">
        <v>94</v>
      </c>
      <c r="G84" s="4">
        <v>150000</v>
      </c>
      <c r="H84" s="5">
        <v>143</v>
      </c>
      <c r="I84" s="6">
        <v>45812</v>
      </c>
      <c r="J84" s="2" t="s">
        <v>597</v>
      </c>
      <c r="K84" s="15">
        <f>PRODUCT(Table25[[#This Row],[Ticket Price]],Table25[[#This Row],[Passenger Count]])</f>
        <v>21450000</v>
      </c>
      <c r="L84" s="15">
        <f>Table25[[#This Row],[Revenue]]*(1-$O$2)</f>
        <v>19305000</v>
      </c>
    </row>
    <row r="85" spans="1:12" x14ac:dyDescent="0.35">
      <c r="A85" t="s">
        <v>81</v>
      </c>
      <c r="B85" t="s">
        <v>420</v>
      </c>
      <c r="C85" t="s">
        <v>587</v>
      </c>
      <c r="D85" s="2" t="s">
        <v>591</v>
      </c>
      <c r="E85" s="1" t="s">
        <v>592</v>
      </c>
      <c r="F85" s="3">
        <v>11</v>
      </c>
      <c r="G85" s="4">
        <v>45000</v>
      </c>
      <c r="H85" s="5">
        <v>67</v>
      </c>
      <c r="I85" s="6">
        <v>45824</v>
      </c>
      <c r="J85" s="2" t="s">
        <v>597</v>
      </c>
      <c r="K85" s="15">
        <f>PRODUCT(Table25[[#This Row],[Ticket Price]],Table25[[#This Row],[Passenger Count]])</f>
        <v>3015000</v>
      </c>
      <c r="L85" s="15">
        <f>Table25[[#This Row],[Revenue]]*(1-$O$2)</f>
        <v>2713500</v>
      </c>
    </row>
    <row r="86" spans="1:12" x14ac:dyDescent="0.35">
      <c r="A86" t="s">
        <v>82</v>
      </c>
      <c r="B86" t="s">
        <v>421</v>
      </c>
      <c r="C86" t="s">
        <v>586</v>
      </c>
      <c r="D86" s="2" t="s">
        <v>589</v>
      </c>
      <c r="E86" s="1" t="s">
        <v>596</v>
      </c>
      <c r="F86" s="3">
        <v>46</v>
      </c>
      <c r="G86" s="4">
        <v>35000</v>
      </c>
      <c r="H86" s="5">
        <v>138</v>
      </c>
      <c r="I86" s="6">
        <v>45756</v>
      </c>
      <c r="J86" s="2" t="s">
        <v>598</v>
      </c>
      <c r="K86" s="15">
        <f>PRODUCT(Table25[[#This Row],[Ticket Price]],Table25[[#This Row],[Passenger Count]])</f>
        <v>4830000</v>
      </c>
      <c r="L86" s="15">
        <f>Table25[[#This Row],[Revenue]]*(1-$O$2)</f>
        <v>4347000</v>
      </c>
    </row>
    <row r="87" spans="1:12" x14ac:dyDescent="0.35">
      <c r="A87" t="s">
        <v>83</v>
      </c>
      <c r="B87" t="s">
        <v>422</v>
      </c>
      <c r="C87" t="s">
        <v>584</v>
      </c>
      <c r="D87" s="2" t="s">
        <v>587</v>
      </c>
      <c r="E87" s="1" t="s">
        <v>595</v>
      </c>
      <c r="F87" s="3">
        <v>31</v>
      </c>
      <c r="G87" s="4">
        <v>50000</v>
      </c>
      <c r="H87" s="5">
        <v>149</v>
      </c>
      <c r="I87" s="6">
        <v>45813</v>
      </c>
      <c r="J87" s="2" t="s">
        <v>598</v>
      </c>
      <c r="K87" s="15">
        <f>PRODUCT(Table25[[#This Row],[Ticket Price]],Table25[[#This Row],[Passenger Count]])</f>
        <v>7450000</v>
      </c>
      <c r="L87" s="15">
        <f>Table25[[#This Row],[Revenue]]*(1-$O$2)</f>
        <v>6705000</v>
      </c>
    </row>
    <row r="88" spans="1:12" x14ac:dyDescent="0.35">
      <c r="A88" t="s">
        <v>84</v>
      </c>
      <c r="B88" t="s">
        <v>373</v>
      </c>
      <c r="C88" t="s">
        <v>587</v>
      </c>
      <c r="D88" s="2" t="s">
        <v>582</v>
      </c>
      <c r="E88" s="1" t="s">
        <v>592</v>
      </c>
      <c r="F88" s="3">
        <v>112</v>
      </c>
      <c r="G88" s="4">
        <v>85000</v>
      </c>
      <c r="H88" s="5">
        <v>96</v>
      </c>
      <c r="I88" s="6">
        <v>45825</v>
      </c>
      <c r="J88" s="2" t="s">
        <v>597</v>
      </c>
      <c r="K88" s="15">
        <f>PRODUCT(Table25[[#This Row],[Ticket Price]],Table25[[#This Row],[Passenger Count]])</f>
        <v>8160000</v>
      </c>
      <c r="L88" s="15">
        <f>Table25[[#This Row],[Revenue]]*(1-$O$2)</f>
        <v>7344000</v>
      </c>
    </row>
    <row r="89" spans="1:12" x14ac:dyDescent="0.35">
      <c r="A89" t="s">
        <v>85</v>
      </c>
      <c r="B89" t="s">
        <v>423</v>
      </c>
      <c r="C89" t="s">
        <v>587</v>
      </c>
      <c r="D89" s="2" t="s">
        <v>585</v>
      </c>
      <c r="E89" s="1" t="s">
        <v>595</v>
      </c>
      <c r="F89" s="3">
        <v>85</v>
      </c>
      <c r="G89" s="4">
        <v>65000</v>
      </c>
      <c r="H89" s="5">
        <v>131</v>
      </c>
      <c r="I89" s="6">
        <v>45692</v>
      </c>
      <c r="J89" s="2" t="s">
        <v>597</v>
      </c>
      <c r="K89" s="15">
        <f>PRODUCT(Table25[[#This Row],[Ticket Price]],Table25[[#This Row],[Passenger Count]])</f>
        <v>8515000</v>
      </c>
      <c r="L89" s="15">
        <f>Table25[[#This Row],[Revenue]]*(1-$O$2)</f>
        <v>7663500</v>
      </c>
    </row>
    <row r="90" spans="1:12" x14ac:dyDescent="0.35">
      <c r="A90" t="s">
        <v>86</v>
      </c>
      <c r="B90" t="s">
        <v>424</v>
      </c>
      <c r="C90" t="s">
        <v>584</v>
      </c>
      <c r="D90" s="2" t="s">
        <v>590</v>
      </c>
      <c r="E90" s="1" t="s">
        <v>593</v>
      </c>
      <c r="F90" s="3">
        <v>168</v>
      </c>
      <c r="G90" s="4">
        <v>135000</v>
      </c>
      <c r="H90" s="5">
        <v>97</v>
      </c>
      <c r="I90" s="6">
        <v>45798</v>
      </c>
      <c r="J90" s="2" t="s">
        <v>598</v>
      </c>
      <c r="K90" s="15">
        <f>PRODUCT(Table25[[#This Row],[Ticket Price]],Table25[[#This Row],[Passenger Count]])</f>
        <v>13095000</v>
      </c>
      <c r="L90" s="15">
        <f>Table25[[#This Row],[Revenue]]*(1-$O$2)</f>
        <v>11785500</v>
      </c>
    </row>
    <row r="91" spans="1:12" x14ac:dyDescent="0.35">
      <c r="A91" t="s">
        <v>600</v>
      </c>
      <c r="B91" t="s">
        <v>425</v>
      </c>
      <c r="C91" t="s">
        <v>581</v>
      </c>
      <c r="D91" s="2" t="s">
        <v>589</v>
      </c>
      <c r="E91" s="1" t="s">
        <v>592</v>
      </c>
      <c r="F91" s="3">
        <v>115</v>
      </c>
      <c r="G91" s="4">
        <v>90000</v>
      </c>
      <c r="H91" s="5">
        <v>83</v>
      </c>
      <c r="I91" s="6">
        <v>45664</v>
      </c>
      <c r="J91" s="2" t="s">
        <v>598</v>
      </c>
      <c r="K91" s="15">
        <f>PRODUCT(Table25[[#This Row],[Ticket Price]],Table25[[#This Row],[Passenger Count]])</f>
        <v>7470000</v>
      </c>
      <c r="L91" s="15">
        <f>Table25[[#This Row],[Revenue]]*(1-$O$2)</f>
        <v>6723000</v>
      </c>
    </row>
    <row r="92" spans="1:12" x14ac:dyDescent="0.35">
      <c r="A92" t="s">
        <v>87</v>
      </c>
      <c r="B92" t="s">
        <v>409</v>
      </c>
      <c r="C92" t="s">
        <v>585</v>
      </c>
      <c r="D92" s="2" t="s">
        <v>583</v>
      </c>
      <c r="E92" s="1" t="s">
        <v>596</v>
      </c>
      <c r="F92" s="3">
        <v>60</v>
      </c>
      <c r="G92" s="4">
        <v>75000</v>
      </c>
      <c r="H92" s="5">
        <v>125</v>
      </c>
      <c r="I92" s="6">
        <v>45782</v>
      </c>
      <c r="J92" s="2" t="s">
        <v>598</v>
      </c>
      <c r="K92" s="15">
        <f>PRODUCT(Table25[[#This Row],[Ticket Price]],Table25[[#This Row],[Passenger Count]])</f>
        <v>9375000</v>
      </c>
      <c r="L92" s="15">
        <f>Table25[[#This Row],[Revenue]]*(1-$O$2)</f>
        <v>8437500</v>
      </c>
    </row>
    <row r="93" spans="1:12" x14ac:dyDescent="0.35">
      <c r="A93" t="s">
        <v>88</v>
      </c>
      <c r="B93" t="s">
        <v>415</v>
      </c>
      <c r="C93" t="s">
        <v>583</v>
      </c>
      <c r="D93" s="2" t="s">
        <v>587</v>
      </c>
      <c r="E93" s="1" t="s">
        <v>594</v>
      </c>
      <c r="F93" s="3">
        <v>80</v>
      </c>
      <c r="G93" s="4">
        <v>115000</v>
      </c>
      <c r="H93" s="5">
        <v>112</v>
      </c>
      <c r="I93" s="6">
        <v>45798</v>
      </c>
      <c r="J93" s="2" t="s">
        <v>597</v>
      </c>
      <c r="K93" s="15">
        <f>PRODUCT(Table25[[#This Row],[Ticket Price]],Table25[[#This Row],[Passenger Count]])</f>
        <v>12880000</v>
      </c>
      <c r="L93" s="15">
        <f>Table25[[#This Row],[Revenue]]*(1-$O$2)</f>
        <v>11592000</v>
      </c>
    </row>
    <row r="94" spans="1:12" x14ac:dyDescent="0.35">
      <c r="A94" t="s">
        <v>89</v>
      </c>
      <c r="B94" t="s">
        <v>426</v>
      </c>
      <c r="C94" t="s">
        <v>588</v>
      </c>
      <c r="D94" s="2" t="s">
        <v>589</v>
      </c>
      <c r="E94" s="1" t="s">
        <v>595</v>
      </c>
      <c r="F94" s="3">
        <v>118</v>
      </c>
      <c r="G94" s="4">
        <v>90000</v>
      </c>
      <c r="H94" s="5">
        <v>95</v>
      </c>
      <c r="I94" s="6">
        <v>45761</v>
      </c>
      <c r="J94" s="2" t="s">
        <v>597</v>
      </c>
      <c r="K94" s="15">
        <f>PRODUCT(Table25[[#This Row],[Ticket Price]],Table25[[#This Row],[Passenger Count]])</f>
        <v>8550000</v>
      </c>
      <c r="L94" s="15">
        <f>Table25[[#This Row],[Revenue]]*(1-$O$2)</f>
        <v>7695000</v>
      </c>
    </row>
    <row r="95" spans="1:12" x14ac:dyDescent="0.35">
      <c r="A95" t="s">
        <v>90</v>
      </c>
      <c r="B95" t="s">
        <v>370</v>
      </c>
      <c r="C95" t="s">
        <v>581</v>
      </c>
      <c r="D95" s="2" t="s">
        <v>585</v>
      </c>
      <c r="E95" s="1" t="s">
        <v>595</v>
      </c>
      <c r="F95" s="3">
        <v>180</v>
      </c>
      <c r="G95" s="4">
        <v>75000</v>
      </c>
      <c r="H95" s="5">
        <v>65</v>
      </c>
      <c r="I95" s="6">
        <v>45690</v>
      </c>
      <c r="J95" s="2" t="s">
        <v>598</v>
      </c>
      <c r="K95" s="15">
        <f>PRODUCT(Table25[[#This Row],[Ticket Price]],Table25[[#This Row],[Passenger Count]])</f>
        <v>4875000</v>
      </c>
      <c r="L95" s="15">
        <f>Table25[[#This Row],[Revenue]]*(1-$O$2)</f>
        <v>4387500</v>
      </c>
    </row>
    <row r="96" spans="1:12" x14ac:dyDescent="0.35">
      <c r="A96" t="s">
        <v>91</v>
      </c>
      <c r="B96" t="s">
        <v>427</v>
      </c>
      <c r="C96" t="s">
        <v>583</v>
      </c>
      <c r="D96" s="2" t="s">
        <v>591</v>
      </c>
      <c r="E96" s="1" t="s">
        <v>593</v>
      </c>
      <c r="F96" s="3">
        <v>35</v>
      </c>
      <c r="G96" s="4">
        <v>75000</v>
      </c>
      <c r="H96" s="5">
        <v>173</v>
      </c>
      <c r="I96" s="6">
        <v>45811</v>
      </c>
      <c r="J96" s="2" t="s">
        <v>598</v>
      </c>
      <c r="K96" s="15">
        <f>PRODUCT(Table25[[#This Row],[Ticket Price]],Table25[[#This Row],[Passenger Count]])</f>
        <v>12975000</v>
      </c>
      <c r="L96" s="15">
        <f>Table25[[#This Row],[Revenue]]*(1-$O$2)</f>
        <v>11677500</v>
      </c>
    </row>
    <row r="97" spans="1:12" x14ac:dyDescent="0.35">
      <c r="A97" t="s">
        <v>92</v>
      </c>
      <c r="B97" t="s">
        <v>428</v>
      </c>
      <c r="C97" t="s">
        <v>585</v>
      </c>
      <c r="D97" s="2" t="s">
        <v>590</v>
      </c>
      <c r="E97" s="1" t="s">
        <v>595</v>
      </c>
      <c r="F97" s="3">
        <v>48</v>
      </c>
      <c r="G97" s="4">
        <v>65000</v>
      </c>
      <c r="H97" s="5">
        <v>175</v>
      </c>
      <c r="I97" s="6">
        <v>45796</v>
      </c>
      <c r="J97" s="2" t="s">
        <v>597</v>
      </c>
      <c r="K97" s="15">
        <f>PRODUCT(Table25[[#This Row],[Ticket Price]],Table25[[#This Row],[Passenger Count]])</f>
        <v>11375000</v>
      </c>
      <c r="L97" s="15">
        <f>Table25[[#This Row],[Revenue]]*(1-$O$2)</f>
        <v>10237500</v>
      </c>
    </row>
    <row r="98" spans="1:12" x14ac:dyDescent="0.35">
      <c r="A98" t="s">
        <v>93</v>
      </c>
      <c r="B98" t="s">
        <v>429</v>
      </c>
      <c r="C98" t="s">
        <v>584</v>
      </c>
      <c r="D98" s="2" t="s">
        <v>585</v>
      </c>
      <c r="E98" s="1" t="s">
        <v>592</v>
      </c>
      <c r="F98" s="3">
        <v>11</v>
      </c>
      <c r="G98" s="4">
        <v>60000</v>
      </c>
      <c r="H98" s="5">
        <v>87</v>
      </c>
      <c r="I98" s="6">
        <v>45734</v>
      </c>
      <c r="J98" s="2" t="s">
        <v>597</v>
      </c>
      <c r="K98" s="15">
        <f>PRODUCT(Table25[[#This Row],[Ticket Price]],Table25[[#This Row],[Passenger Count]])</f>
        <v>5220000</v>
      </c>
      <c r="L98" s="15">
        <f>Table25[[#This Row],[Revenue]]*(1-$O$2)</f>
        <v>4698000</v>
      </c>
    </row>
    <row r="99" spans="1:12" x14ac:dyDescent="0.35">
      <c r="A99" t="s">
        <v>94</v>
      </c>
      <c r="B99" t="s">
        <v>405</v>
      </c>
      <c r="C99" t="s">
        <v>586</v>
      </c>
      <c r="D99" s="2" t="s">
        <v>589</v>
      </c>
      <c r="E99" s="1" t="s">
        <v>594</v>
      </c>
      <c r="F99" s="3">
        <v>180</v>
      </c>
      <c r="G99" s="4">
        <v>125000</v>
      </c>
      <c r="H99" s="5">
        <v>67</v>
      </c>
      <c r="I99" s="6">
        <v>45805</v>
      </c>
      <c r="J99" s="2" t="s">
        <v>598</v>
      </c>
      <c r="K99" s="15">
        <f>PRODUCT(Table25[[#This Row],[Ticket Price]],Table25[[#This Row],[Passenger Count]])</f>
        <v>8375000</v>
      </c>
      <c r="L99" s="15">
        <f>Table25[[#This Row],[Revenue]]*(1-$O$2)</f>
        <v>7537500</v>
      </c>
    </row>
    <row r="100" spans="1:12" x14ac:dyDescent="0.35">
      <c r="A100" t="s">
        <v>95</v>
      </c>
      <c r="B100" t="s">
        <v>389</v>
      </c>
      <c r="C100" t="s">
        <v>582</v>
      </c>
      <c r="D100" s="2" t="s">
        <v>590</v>
      </c>
      <c r="E100" s="1" t="s">
        <v>595</v>
      </c>
      <c r="F100" s="3">
        <v>137</v>
      </c>
      <c r="G100" s="4">
        <v>30000</v>
      </c>
      <c r="H100" s="5">
        <v>96</v>
      </c>
      <c r="I100" s="6">
        <v>45679</v>
      </c>
      <c r="J100" s="2" t="s">
        <v>597</v>
      </c>
      <c r="K100" s="15">
        <f>PRODUCT(Table25[[#This Row],[Ticket Price]],Table25[[#This Row],[Passenger Count]])</f>
        <v>2880000</v>
      </c>
      <c r="L100" s="15">
        <f>Table25[[#This Row],[Revenue]]*(1-$O$2)</f>
        <v>2592000</v>
      </c>
    </row>
    <row r="101" spans="1:12" x14ac:dyDescent="0.35">
      <c r="A101" t="s">
        <v>96</v>
      </c>
      <c r="B101" t="s">
        <v>430</v>
      </c>
      <c r="C101" t="s">
        <v>584</v>
      </c>
      <c r="D101" s="2" t="s">
        <v>583</v>
      </c>
      <c r="E101" s="1" t="s">
        <v>595</v>
      </c>
      <c r="F101" s="3">
        <v>55</v>
      </c>
      <c r="G101" s="4">
        <v>115000</v>
      </c>
      <c r="H101" s="5">
        <v>140</v>
      </c>
      <c r="I101" s="6">
        <v>45685</v>
      </c>
      <c r="J101" s="2" t="s">
        <v>598</v>
      </c>
      <c r="K101" s="15">
        <f>PRODUCT(Table25[[#This Row],[Ticket Price]],Table25[[#This Row],[Passenger Count]])</f>
        <v>16100000</v>
      </c>
      <c r="L101" s="15">
        <f>Table25[[#This Row],[Revenue]]*(1-$O$2)</f>
        <v>14490000</v>
      </c>
    </row>
    <row r="102" spans="1:12" x14ac:dyDescent="0.35">
      <c r="A102" t="s">
        <v>97</v>
      </c>
      <c r="B102" t="s">
        <v>385</v>
      </c>
      <c r="C102" t="s">
        <v>581</v>
      </c>
      <c r="D102" s="2" t="s">
        <v>582</v>
      </c>
      <c r="E102" s="1" t="s">
        <v>595</v>
      </c>
      <c r="F102" s="3">
        <v>150</v>
      </c>
      <c r="G102" s="4">
        <v>95000</v>
      </c>
      <c r="H102" s="5">
        <v>122</v>
      </c>
      <c r="I102" s="6">
        <v>45828</v>
      </c>
      <c r="J102" s="2" t="s">
        <v>598</v>
      </c>
      <c r="K102" s="15">
        <f>PRODUCT(Table25[[#This Row],[Ticket Price]],Table25[[#This Row],[Passenger Count]])</f>
        <v>11590000</v>
      </c>
      <c r="L102" s="15">
        <f>Table25[[#This Row],[Revenue]]*(1-$O$2)</f>
        <v>10431000</v>
      </c>
    </row>
    <row r="103" spans="1:12" x14ac:dyDescent="0.35">
      <c r="A103" t="s">
        <v>98</v>
      </c>
      <c r="B103" t="s">
        <v>431</v>
      </c>
      <c r="C103" t="s">
        <v>586</v>
      </c>
      <c r="D103" s="2" t="s">
        <v>589</v>
      </c>
      <c r="E103" s="1" t="s">
        <v>592</v>
      </c>
      <c r="F103" s="3">
        <v>72</v>
      </c>
      <c r="G103" s="4">
        <v>105000</v>
      </c>
      <c r="H103" s="5">
        <v>129</v>
      </c>
      <c r="I103" s="6">
        <v>45805</v>
      </c>
      <c r="J103" s="2" t="s">
        <v>598</v>
      </c>
      <c r="K103" s="15">
        <f>PRODUCT(Table25[[#This Row],[Ticket Price]],Table25[[#This Row],[Passenger Count]])</f>
        <v>13545000</v>
      </c>
      <c r="L103" s="15">
        <f>Table25[[#This Row],[Revenue]]*(1-$O$2)</f>
        <v>12190500</v>
      </c>
    </row>
    <row r="104" spans="1:12" x14ac:dyDescent="0.35">
      <c r="A104" t="s">
        <v>99</v>
      </c>
      <c r="B104" t="s">
        <v>423</v>
      </c>
      <c r="C104" t="s">
        <v>581</v>
      </c>
      <c r="D104" s="2" t="s">
        <v>584</v>
      </c>
      <c r="E104" s="1" t="s">
        <v>594</v>
      </c>
      <c r="F104" s="3">
        <v>96</v>
      </c>
      <c r="G104" s="4">
        <v>65000</v>
      </c>
      <c r="H104" s="5">
        <v>126</v>
      </c>
      <c r="I104" s="6">
        <v>45808</v>
      </c>
      <c r="J104" s="2" t="s">
        <v>597</v>
      </c>
      <c r="K104" s="15">
        <f>PRODUCT(Table25[[#This Row],[Ticket Price]],Table25[[#This Row],[Passenger Count]])</f>
        <v>8190000</v>
      </c>
      <c r="L104" s="15">
        <f>Table25[[#This Row],[Revenue]]*(1-$O$2)</f>
        <v>7371000</v>
      </c>
    </row>
    <row r="105" spans="1:12" x14ac:dyDescent="0.35">
      <c r="A105" t="s">
        <v>100</v>
      </c>
      <c r="B105" t="s">
        <v>432</v>
      </c>
      <c r="C105" t="s">
        <v>582</v>
      </c>
      <c r="D105" s="2" t="s">
        <v>583</v>
      </c>
      <c r="E105" s="1" t="s">
        <v>596</v>
      </c>
      <c r="F105" s="3">
        <v>75</v>
      </c>
      <c r="G105" s="4">
        <v>145000</v>
      </c>
      <c r="H105" s="5">
        <v>120</v>
      </c>
      <c r="I105" s="6">
        <v>45727</v>
      </c>
      <c r="J105" s="2" t="s">
        <v>597</v>
      </c>
      <c r="K105" s="15">
        <f>PRODUCT(Table25[[#This Row],[Ticket Price]],Table25[[#This Row],[Passenger Count]])</f>
        <v>17400000</v>
      </c>
      <c r="L105" s="15">
        <f>Table25[[#This Row],[Revenue]]*(1-$O$2)</f>
        <v>15660000</v>
      </c>
    </row>
    <row r="106" spans="1:12" x14ac:dyDescent="0.35">
      <c r="A106" t="s">
        <v>101</v>
      </c>
      <c r="B106" t="s">
        <v>433</v>
      </c>
      <c r="C106" t="s">
        <v>585</v>
      </c>
      <c r="D106" s="2" t="s">
        <v>589</v>
      </c>
      <c r="E106" s="1" t="s">
        <v>592</v>
      </c>
      <c r="F106" s="3">
        <v>158</v>
      </c>
      <c r="G106" s="4">
        <v>65000</v>
      </c>
      <c r="H106" s="5">
        <v>108</v>
      </c>
      <c r="I106" s="6">
        <v>45836</v>
      </c>
      <c r="J106" s="2" t="s">
        <v>597</v>
      </c>
      <c r="K106" s="15">
        <f>PRODUCT(Table25[[#This Row],[Ticket Price]],Table25[[#This Row],[Passenger Count]])</f>
        <v>7020000</v>
      </c>
      <c r="L106" s="15">
        <f>Table25[[#This Row],[Revenue]]*(1-$O$2)</f>
        <v>6318000</v>
      </c>
    </row>
    <row r="107" spans="1:12" x14ac:dyDescent="0.35">
      <c r="A107" t="s">
        <v>102</v>
      </c>
      <c r="B107" t="s">
        <v>434</v>
      </c>
      <c r="C107" t="s">
        <v>582</v>
      </c>
      <c r="D107" s="2" t="s">
        <v>589</v>
      </c>
      <c r="E107" s="1" t="s">
        <v>592</v>
      </c>
      <c r="F107" s="3">
        <v>127</v>
      </c>
      <c r="G107" s="4">
        <v>80000</v>
      </c>
      <c r="H107" s="5">
        <v>60</v>
      </c>
      <c r="I107" s="6">
        <v>45742</v>
      </c>
      <c r="J107" s="2" t="s">
        <v>597</v>
      </c>
      <c r="K107" s="15">
        <f>PRODUCT(Table25[[#This Row],[Ticket Price]],Table25[[#This Row],[Passenger Count]])</f>
        <v>4800000</v>
      </c>
      <c r="L107" s="15">
        <f>Table25[[#This Row],[Revenue]]*(1-$O$2)</f>
        <v>4320000</v>
      </c>
    </row>
    <row r="108" spans="1:12" x14ac:dyDescent="0.35">
      <c r="A108" t="s">
        <v>103</v>
      </c>
      <c r="B108" t="s">
        <v>435</v>
      </c>
      <c r="C108" t="s">
        <v>587</v>
      </c>
      <c r="D108" s="2" t="s">
        <v>583</v>
      </c>
      <c r="E108" s="1" t="s">
        <v>592</v>
      </c>
      <c r="F108" s="3">
        <v>12</v>
      </c>
      <c r="G108" s="4">
        <v>95000</v>
      </c>
      <c r="H108" s="5">
        <v>82</v>
      </c>
      <c r="I108" s="6">
        <v>45751</v>
      </c>
      <c r="J108" s="2" t="s">
        <v>597</v>
      </c>
      <c r="K108" s="15">
        <f>PRODUCT(Table25[[#This Row],[Ticket Price]],Table25[[#This Row],[Passenger Count]])</f>
        <v>7790000</v>
      </c>
      <c r="L108" s="15">
        <f>Table25[[#This Row],[Revenue]]*(1-$O$2)</f>
        <v>7011000</v>
      </c>
    </row>
    <row r="109" spans="1:12" x14ac:dyDescent="0.35">
      <c r="A109" t="s">
        <v>104</v>
      </c>
      <c r="B109" t="s">
        <v>427</v>
      </c>
      <c r="C109" t="s">
        <v>588</v>
      </c>
      <c r="D109" s="2" t="s">
        <v>587</v>
      </c>
      <c r="E109" s="1" t="s">
        <v>593</v>
      </c>
      <c r="F109" s="3">
        <v>146</v>
      </c>
      <c r="G109" s="4">
        <v>55000</v>
      </c>
      <c r="H109" s="5">
        <v>165</v>
      </c>
      <c r="I109" s="6">
        <v>45725</v>
      </c>
      <c r="J109" s="2" t="s">
        <v>597</v>
      </c>
      <c r="K109" s="15">
        <f>PRODUCT(Table25[[#This Row],[Ticket Price]],Table25[[#This Row],[Passenger Count]])</f>
        <v>9075000</v>
      </c>
      <c r="L109" s="15">
        <f>Table25[[#This Row],[Revenue]]*(1-$O$2)</f>
        <v>8167500</v>
      </c>
    </row>
    <row r="110" spans="1:12" x14ac:dyDescent="0.35">
      <c r="A110" t="s">
        <v>105</v>
      </c>
      <c r="B110" t="s">
        <v>436</v>
      </c>
      <c r="C110" t="s">
        <v>585</v>
      </c>
      <c r="D110" s="2" t="s">
        <v>584</v>
      </c>
      <c r="E110" s="1" t="s">
        <v>596</v>
      </c>
      <c r="F110" s="3">
        <v>35</v>
      </c>
      <c r="G110" s="4">
        <v>85000</v>
      </c>
      <c r="H110" s="5">
        <v>152</v>
      </c>
      <c r="I110" s="6">
        <v>45666</v>
      </c>
      <c r="J110" s="2" t="s">
        <v>597</v>
      </c>
      <c r="K110" s="15">
        <f>PRODUCT(Table25[[#This Row],[Ticket Price]],Table25[[#This Row],[Passenger Count]])</f>
        <v>12920000</v>
      </c>
      <c r="L110" s="15">
        <f>Table25[[#This Row],[Revenue]]*(1-$O$2)</f>
        <v>11628000</v>
      </c>
    </row>
    <row r="111" spans="1:12" x14ac:dyDescent="0.35">
      <c r="A111" t="s">
        <v>106</v>
      </c>
      <c r="B111" t="s">
        <v>437</v>
      </c>
      <c r="C111" t="s">
        <v>584</v>
      </c>
      <c r="D111" s="2" t="s">
        <v>589</v>
      </c>
      <c r="E111" s="1" t="s">
        <v>592</v>
      </c>
      <c r="F111" s="3">
        <v>159</v>
      </c>
      <c r="G111" s="4">
        <v>100000</v>
      </c>
      <c r="H111" s="5">
        <v>66</v>
      </c>
      <c r="I111" s="6">
        <v>45716</v>
      </c>
      <c r="J111" s="2" t="s">
        <v>598</v>
      </c>
      <c r="K111" s="15">
        <f>PRODUCT(Table25[[#This Row],[Ticket Price]],Table25[[#This Row],[Passenger Count]])</f>
        <v>6600000</v>
      </c>
      <c r="L111" s="15">
        <f>Table25[[#This Row],[Revenue]]*(1-$O$2)</f>
        <v>5940000</v>
      </c>
    </row>
    <row r="112" spans="1:12" x14ac:dyDescent="0.35">
      <c r="A112" t="s">
        <v>107</v>
      </c>
      <c r="B112" t="s">
        <v>438</v>
      </c>
      <c r="C112" t="s">
        <v>585</v>
      </c>
      <c r="D112" s="2" t="s">
        <v>591</v>
      </c>
      <c r="E112" s="1" t="s">
        <v>596</v>
      </c>
      <c r="F112" s="3">
        <v>154</v>
      </c>
      <c r="G112" s="4">
        <v>105000</v>
      </c>
      <c r="H112" s="5">
        <v>167</v>
      </c>
      <c r="I112" s="6">
        <v>45662</v>
      </c>
      <c r="J112" s="2" t="s">
        <v>597</v>
      </c>
      <c r="K112" s="15">
        <f>PRODUCT(Table25[[#This Row],[Ticket Price]],Table25[[#This Row],[Passenger Count]])</f>
        <v>17535000</v>
      </c>
      <c r="L112" s="15">
        <f>Table25[[#This Row],[Revenue]]*(1-$O$2)</f>
        <v>15781500</v>
      </c>
    </row>
    <row r="113" spans="1:12" x14ac:dyDescent="0.35">
      <c r="A113" t="s">
        <v>108</v>
      </c>
      <c r="B113" t="s">
        <v>431</v>
      </c>
      <c r="C113" t="s">
        <v>581</v>
      </c>
      <c r="D113" s="2" t="s">
        <v>589</v>
      </c>
      <c r="E113" s="1" t="s">
        <v>594</v>
      </c>
      <c r="F113" s="3">
        <v>174</v>
      </c>
      <c r="G113" s="4">
        <v>35000</v>
      </c>
      <c r="H113" s="5">
        <v>103</v>
      </c>
      <c r="I113" s="6">
        <v>45730</v>
      </c>
      <c r="J113" s="2" t="s">
        <v>597</v>
      </c>
      <c r="K113" s="15">
        <f>PRODUCT(Table25[[#This Row],[Ticket Price]],Table25[[#This Row],[Passenger Count]])</f>
        <v>3605000</v>
      </c>
      <c r="L113" s="15">
        <f>Table25[[#This Row],[Revenue]]*(1-$O$2)</f>
        <v>3244500</v>
      </c>
    </row>
    <row r="114" spans="1:12" x14ac:dyDescent="0.35">
      <c r="A114" t="s">
        <v>109</v>
      </c>
      <c r="B114" t="s">
        <v>439</v>
      </c>
      <c r="C114" t="s">
        <v>586</v>
      </c>
      <c r="D114" s="2" t="s">
        <v>583</v>
      </c>
      <c r="E114" s="1" t="s">
        <v>593</v>
      </c>
      <c r="F114" s="3">
        <v>83</v>
      </c>
      <c r="G114" s="4">
        <v>50000</v>
      </c>
      <c r="H114" s="5">
        <v>122</v>
      </c>
      <c r="I114" s="6">
        <v>45816</v>
      </c>
      <c r="J114" s="2" t="s">
        <v>598</v>
      </c>
      <c r="K114" s="15">
        <f>PRODUCT(Table25[[#This Row],[Ticket Price]],Table25[[#This Row],[Passenger Count]])</f>
        <v>6100000</v>
      </c>
      <c r="L114" s="15">
        <f>Table25[[#This Row],[Revenue]]*(1-$O$2)</f>
        <v>5490000</v>
      </c>
    </row>
    <row r="115" spans="1:12" x14ac:dyDescent="0.35">
      <c r="A115" t="s">
        <v>110</v>
      </c>
      <c r="B115" t="s">
        <v>440</v>
      </c>
      <c r="C115" t="s">
        <v>587</v>
      </c>
      <c r="D115" s="2" t="s">
        <v>589</v>
      </c>
      <c r="E115" s="1" t="s">
        <v>595</v>
      </c>
      <c r="F115" s="3">
        <v>180</v>
      </c>
      <c r="G115" s="4">
        <v>115000</v>
      </c>
      <c r="H115" s="5">
        <v>67</v>
      </c>
      <c r="I115" s="6">
        <v>45822</v>
      </c>
      <c r="J115" s="2" t="s">
        <v>598</v>
      </c>
      <c r="K115" s="15">
        <f>PRODUCT(Table25[[#This Row],[Ticket Price]],Table25[[#This Row],[Passenger Count]])</f>
        <v>7705000</v>
      </c>
      <c r="L115" s="15">
        <f>Table25[[#This Row],[Revenue]]*(1-$O$2)</f>
        <v>6934500</v>
      </c>
    </row>
    <row r="116" spans="1:12" x14ac:dyDescent="0.35">
      <c r="A116" t="s">
        <v>111</v>
      </c>
      <c r="B116" t="s">
        <v>368</v>
      </c>
      <c r="C116" t="s">
        <v>587</v>
      </c>
      <c r="D116" s="2" t="s">
        <v>584</v>
      </c>
      <c r="E116" s="1" t="s">
        <v>595</v>
      </c>
      <c r="F116" s="3">
        <v>41</v>
      </c>
      <c r="G116" s="4">
        <v>45000</v>
      </c>
      <c r="H116" s="5">
        <v>85</v>
      </c>
      <c r="I116" s="6">
        <v>45664</v>
      </c>
      <c r="J116" s="2" t="s">
        <v>597</v>
      </c>
      <c r="K116" s="15">
        <f>PRODUCT(Table25[[#This Row],[Ticket Price]],Table25[[#This Row],[Passenger Count]])</f>
        <v>3825000</v>
      </c>
      <c r="L116" s="15">
        <f>Table25[[#This Row],[Revenue]]*(1-$O$2)</f>
        <v>3442500</v>
      </c>
    </row>
    <row r="117" spans="1:12" x14ac:dyDescent="0.35">
      <c r="A117" t="s">
        <v>112</v>
      </c>
      <c r="B117" t="s">
        <v>441</v>
      </c>
      <c r="C117" t="s">
        <v>581</v>
      </c>
      <c r="D117" s="2" t="s">
        <v>589</v>
      </c>
      <c r="E117" s="1" t="s">
        <v>594</v>
      </c>
      <c r="F117" s="3">
        <v>91</v>
      </c>
      <c r="G117" s="4">
        <v>95000</v>
      </c>
      <c r="H117" s="5">
        <v>161</v>
      </c>
      <c r="I117" s="6">
        <v>45758</v>
      </c>
      <c r="J117" s="2" t="s">
        <v>598</v>
      </c>
      <c r="K117" s="15">
        <f>PRODUCT(Table25[[#This Row],[Ticket Price]],Table25[[#This Row],[Passenger Count]])</f>
        <v>15295000</v>
      </c>
      <c r="L117" s="15">
        <f>Table25[[#This Row],[Revenue]]*(1-$O$2)</f>
        <v>13765500</v>
      </c>
    </row>
    <row r="118" spans="1:12" x14ac:dyDescent="0.35">
      <c r="A118" t="s">
        <v>113</v>
      </c>
      <c r="B118" t="s">
        <v>442</v>
      </c>
      <c r="C118" t="s">
        <v>582</v>
      </c>
      <c r="D118" s="2" t="s">
        <v>583</v>
      </c>
      <c r="E118" s="1" t="s">
        <v>595</v>
      </c>
      <c r="F118" s="3">
        <v>175</v>
      </c>
      <c r="G118" s="4">
        <v>150000</v>
      </c>
      <c r="H118" s="5">
        <v>114</v>
      </c>
      <c r="I118" s="6">
        <v>45710</v>
      </c>
      <c r="J118" s="2" t="s">
        <v>598</v>
      </c>
      <c r="K118" s="15">
        <f>PRODUCT(Table25[[#This Row],[Ticket Price]],Table25[[#This Row],[Passenger Count]])</f>
        <v>17100000</v>
      </c>
      <c r="L118" s="15">
        <f>Table25[[#This Row],[Revenue]]*(1-$O$2)</f>
        <v>15390000</v>
      </c>
    </row>
    <row r="119" spans="1:12" x14ac:dyDescent="0.35">
      <c r="A119" t="s">
        <v>114</v>
      </c>
      <c r="B119" t="s">
        <v>443</v>
      </c>
      <c r="C119" t="s">
        <v>583</v>
      </c>
      <c r="D119" s="2" t="s">
        <v>587</v>
      </c>
      <c r="E119" s="1" t="s">
        <v>592</v>
      </c>
      <c r="F119" s="3">
        <v>118</v>
      </c>
      <c r="G119" s="4">
        <v>70000</v>
      </c>
      <c r="H119" s="5">
        <v>167</v>
      </c>
      <c r="I119" s="6">
        <v>45806</v>
      </c>
      <c r="J119" s="2" t="s">
        <v>597</v>
      </c>
      <c r="K119" s="15">
        <f>PRODUCT(Table25[[#This Row],[Ticket Price]],Table25[[#This Row],[Passenger Count]])</f>
        <v>11690000</v>
      </c>
      <c r="L119" s="15">
        <f>Table25[[#This Row],[Revenue]]*(1-$O$2)</f>
        <v>10521000</v>
      </c>
    </row>
    <row r="120" spans="1:12" x14ac:dyDescent="0.35">
      <c r="A120" t="s">
        <v>115</v>
      </c>
      <c r="B120" t="s">
        <v>397</v>
      </c>
      <c r="C120" t="s">
        <v>587</v>
      </c>
      <c r="D120" s="2" t="s">
        <v>591</v>
      </c>
      <c r="E120" s="1" t="s">
        <v>596</v>
      </c>
      <c r="F120" s="3">
        <v>127</v>
      </c>
      <c r="G120" s="4">
        <v>40000</v>
      </c>
      <c r="H120" s="5">
        <v>109</v>
      </c>
      <c r="I120" s="6">
        <v>45674</v>
      </c>
      <c r="J120" s="2" t="s">
        <v>597</v>
      </c>
      <c r="K120" s="15">
        <f>PRODUCT(Table25[[#This Row],[Ticket Price]],Table25[[#This Row],[Passenger Count]])</f>
        <v>4360000</v>
      </c>
      <c r="L120" s="15">
        <f>Table25[[#This Row],[Revenue]]*(1-$O$2)</f>
        <v>3924000</v>
      </c>
    </row>
    <row r="121" spans="1:12" x14ac:dyDescent="0.35">
      <c r="A121" t="s">
        <v>116</v>
      </c>
      <c r="B121" t="s">
        <v>444</v>
      </c>
      <c r="C121" t="s">
        <v>586</v>
      </c>
      <c r="D121" s="2" t="s">
        <v>585</v>
      </c>
      <c r="E121" s="1" t="s">
        <v>594</v>
      </c>
      <c r="F121" s="3">
        <v>42</v>
      </c>
      <c r="G121" s="4">
        <v>35000</v>
      </c>
      <c r="H121" s="5">
        <v>71</v>
      </c>
      <c r="I121" s="6">
        <v>45671</v>
      </c>
      <c r="J121" s="2" t="s">
        <v>598</v>
      </c>
      <c r="K121" s="15">
        <f>PRODUCT(Table25[[#This Row],[Ticket Price]],Table25[[#This Row],[Passenger Count]])</f>
        <v>2485000</v>
      </c>
      <c r="L121" s="15">
        <f>Table25[[#This Row],[Revenue]]*(1-$O$2)</f>
        <v>2236500</v>
      </c>
    </row>
    <row r="122" spans="1:12" x14ac:dyDescent="0.35">
      <c r="A122" t="s">
        <v>117</v>
      </c>
      <c r="B122" t="s">
        <v>445</v>
      </c>
      <c r="C122" t="s">
        <v>584</v>
      </c>
      <c r="D122" s="2" t="s">
        <v>590</v>
      </c>
      <c r="E122" s="1" t="s">
        <v>592</v>
      </c>
      <c r="F122" s="3">
        <v>112</v>
      </c>
      <c r="G122" s="4">
        <v>40000</v>
      </c>
      <c r="H122" s="5">
        <v>166</v>
      </c>
      <c r="I122" s="6">
        <v>45667</v>
      </c>
      <c r="J122" s="2" t="s">
        <v>597</v>
      </c>
      <c r="K122" s="15">
        <f>PRODUCT(Table25[[#This Row],[Ticket Price]],Table25[[#This Row],[Passenger Count]])</f>
        <v>6640000</v>
      </c>
      <c r="L122" s="15">
        <f>Table25[[#This Row],[Revenue]]*(1-$O$2)</f>
        <v>5976000</v>
      </c>
    </row>
    <row r="123" spans="1:12" x14ac:dyDescent="0.35">
      <c r="A123" t="s">
        <v>118</v>
      </c>
      <c r="B123" t="s">
        <v>388</v>
      </c>
      <c r="C123" t="s">
        <v>582</v>
      </c>
      <c r="D123" s="2" t="s">
        <v>584</v>
      </c>
      <c r="E123" s="1" t="s">
        <v>596</v>
      </c>
      <c r="F123" s="3">
        <v>26</v>
      </c>
      <c r="G123" s="4">
        <v>95000</v>
      </c>
      <c r="H123" s="5">
        <v>168</v>
      </c>
      <c r="I123" s="6">
        <v>45666</v>
      </c>
      <c r="J123" s="2" t="s">
        <v>597</v>
      </c>
      <c r="K123" s="15">
        <f>PRODUCT(Table25[[#This Row],[Ticket Price]],Table25[[#This Row],[Passenger Count]])</f>
        <v>15960000</v>
      </c>
      <c r="L123" s="15">
        <f>Table25[[#This Row],[Revenue]]*(1-$O$2)</f>
        <v>14364000</v>
      </c>
    </row>
    <row r="124" spans="1:12" x14ac:dyDescent="0.35">
      <c r="A124" t="s">
        <v>119</v>
      </c>
      <c r="B124" t="s">
        <v>446</v>
      </c>
      <c r="C124" t="s">
        <v>581</v>
      </c>
      <c r="D124" s="2" t="s">
        <v>591</v>
      </c>
      <c r="E124" s="1" t="s">
        <v>592</v>
      </c>
      <c r="F124" s="3">
        <v>97</v>
      </c>
      <c r="G124" s="4">
        <v>60000</v>
      </c>
      <c r="H124" s="5">
        <v>161</v>
      </c>
      <c r="I124" s="6">
        <v>45794</v>
      </c>
      <c r="J124" s="2" t="s">
        <v>598</v>
      </c>
      <c r="K124" s="15">
        <f>PRODUCT(Table25[[#This Row],[Ticket Price]],Table25[[#This Row],[Passenger Count]])</f>
        <v>9660000</v>
      </c>
      <c r="L124" s="15">
        <f>Table25[[#This Row],[Revenue]]*(1-$O$2)</f>
        <v>8694000</v>
      </c>
    </row>
    <row r="125" spans="1:12" x14ac:dyDescent="0.35">
      <c r="A125" t="s">
        <v>120</v>
      </c>
      <c r="B125" t="s">
        <v>412</v>
      </c>
      <c r="C125" t="s">
        <v>584</v>
      </c>
      <c r="D125" s="2" t="s">
        <v>590</v>
      </c>
      <c r="E125" s="1" t="s">
        <v>593</v>
      </c>
      <c r="F125" s="3">
        <v>-2</v>
      </c>
      <c r="G125" s="4">
        <v>85000</v>
      </c>
      <c r="H125" s="5">
        <v>76</v>
      </c>
      <c r="I125" s="6">
        <v>45838</v>
      </c>
      <c r="J125" s="2" t="s">
        <v>598</v>
      </c>
      <c r="K125" s="15">
        <f>PRODUCT(Table25[[#This Row],[Ticket Price]],Table25[[#This Row],[Passenger Count]])</f>
        <v>6460000</v>
      </c>
      <c r="L125" s="15">
        <f>Table25[[#This Row],[Revenue]]*(1-$O$2)</f>
        <v>5814000</v>
      </c>
    </row>
    <row r="126" spans="1:12" x14ac:dyDescent="0.35">
      <c r="A126" t="s">
        <v>121</v>
      </c>
      <c r="B126" t="s">
        <v>406</v>
      </c>
      <c r="C126" t="s">
        <v>586</v>
      </c>
      <c r="D126" s="2" t="s">
        <v>585</v>
      </c>
      <c r="E126" s="1" t="s">
        <v>593</v>
      </c>
      <c r="F126" s="3">
        <v>150</v>
      </c>
      <c r="G126" s="4">
        <v>110000</v>
      </c>
      <c r="H126" s="5">
        <v>86</v>
      </c>
      <c r="I126" s="6">
        <v>45833</v>
      </c>
      <c r="J126" s="2" t="s">
        <v>597</v>
      </c>
      <c r="K126" s="15">
        <f>PRODUCT(Table25[[#This Row],[Ticket Price]],Table25[[#This Row],[Passenger Count]])</f>
        <v>9460000</v>
      </c>
      <c r="L126" s="15">
        <f>Table25[[#This Row],[Revenue]]*(1-$O$2)</f>
        <v>8514000</v>
      </c>
    </row>
    <row r="127" spans="1:12" x14ac:dyDescent="0.35">
      <c r="A127" t="s">
        <v>122</v>
      </c>
      <c r="B127" t="s">
        <v>447</v>
      </c>
      <c r="C127" t="s">
        <v>585</v>
      </c>
      <c r="D127" s="2" t="s">
        <v>583</v>
      </c>
      <c r="E127" s="1" t="s">
        <v>592</v>
      </c>
      <c r="F127" s="3">
        <v>67</v>
      </c>
      <c r="G127" s="4">
        <v>25000</v>
      </c>
      <c r="H127" s="5">
        <v>137</v>
      </c>
      <c r="I127" s="6">
        <v>45703</v>
      </c>
      <c r="J127" s="2" t="s">
        <v>597</v>
      </c>
      <c r="K127" s="15">
        <f>PRODUCT(Table25[[#This Row],[Ticket Price]],Table25[[#This Row],[Passenger Count]])</f>
        <v>3425000</v>
      </c>
      <c r="L127" s="15">
        <f>Table25[[#This Row],[Revenue]]*(1-$O$2)</f>
        <v>3082500</v>
      </c>
    </row>
    <row r="128" spans="1:12" x14ac:dyDescent="0.35">
      <c r="A128" t="s">
        <v>123</v>
      </c>
      <c r="B128" t="s">
        <v>448</v>
      </c>
      <c r="C128" t="s">
        <v>586</v>
      </c>
      <c r="D128" s="2" t="s">
        <v>583</v>
      </c>
      <c r="E128" s="1" t="s">
        <v>593</v>
      </c>
      <c r="F128" s="3">
        <v>29</v>
      </c>
      <c r="G128" s="4">
        <v>70000</v>
      </c>
      <c r="H128" s="5">
        <v>148</v>
      </c>
      <c r="I128" s="6">
        <v>45767</v>
      </c>
      <c r="J128" s="2" t="s">
        <v>597</v>
      </c>
      <c r="K128" s="15">
        <f>PRODUCT(Table25[[#This Row],[Ticket Price]],Table25[[#This Row],[Passenger Count]])</f>
        <v>10360000</v>
      </c>
      <c r="L128" s="15">
        <f>Table25[[#This Row],[Revenue]]*(1-$O$2)</f>
        <v>9324000</v>
      </c>
    </row>
    <row r="129" spans="1:12" x14ac:dyDescent="0.35">
      <c r="A129" t="s">
        <v>124</v>
      </c>
      <c r="B129" t="s">
        <v>449</v>
      </c>
      <c r="C129" t="s">
        <v>583</v>
      </c>
      <c r="D129" s="2" t="s">
        <v>584</v>
      </c>
      <c r="E129" s="1" t="s">
        <v>596</v>
      </c>
      <c r="F129" s="3">
        <v>125</v>
      </c>
      <c r="G129" s="4">
        <v>65000</v>
      </c>
      <c r="H129" s="5">
        <v>81</v>
      </c>
      <c r="I129" s="6">
        <v>45735</v>
      </c>
      <c r="J129" s="2" t="s">
        <v>597</v>
      </c>
      <c r="K129" s="15">
        <f>PRODUCT(Table25[[#This Row],[Ticket Price]],Table25[[#This Row],[Passenger Count]])</f>
        <v>5265000</v>
      </c>
      <c r="L129" s="15">
        <f>Table25[[#This Row],[Revenue]]*(1-$O$2)</f>
        <v>4738500</v>
      </c>
    </row>
    <row r="130" spans="1:12" x14ac:dyDescent="0.35">
      <c r="A130" t="s">
        <v>125</v>
      </c>
      <c r="B130" t="s">
        <v>381</v>
      </c>
      <c r="C130" t="s">
        <v>585</v>
      </c>
      <c r="D130" s="2" t="s">
        <v>587</v>
      </c>
      <c r="E130" s="1" t="s">
        <v>595</v>
      </c>
      <c r="F130" s="3">
        <v>17</v>
      </c>
      <c r="G130" s="4">
        <v>60000</v>
      </c>
      <c r="H130" s="5">
        <v>96</v>
      </c>
      <c r="I130" s="6">
        <v>45666</v>
      </c>
      <c r="J130" s="2" t="s">
        <v>597</v>
      </c>
      <c r="K130" s="15">
        <f>PRODUCT(Table25[[#This Row],[Ticket Price]],Table25[[#This Row],[Passenger Count]])</f>
        <v>5760000</v>
      </c>
      <c r="L130" s="15">
        <f>Table25[[#This Row],[Revenue]]*(1-$O$2)</f>
        <v>5184000</v>
      </c>
    </row>
    <row r="131" spans="1:12" x14ac:dyDescent="0.35">
      <c r="A131" t="s">
        <v>126</v>
      </c>
      <c r="B131" t="s">
        <v>372</v>
      </c>
      <c r="C131" t="s">
        <v>587</v>
      </c>
      <c r="D131" s="2" t="s">
        <v>591</v>
      </c>
      <c r="E131" s="1" t="s">
        <v>595</v>
      </c>
      <c r="F131" s="3">
        <v>74</v>
      </c>
      <c r="G131" s="4">
        <v>25000</v>
      </c>
      <c r="H131" s="5">
        <v>134</v>
      </c>
      <c r="I131" s="6">
        <v>45700</v>
      </c>
      <c r="J131" s="2" t="s">
        <v>597</v>
      </c>
      <c r="K131" s="15">
        <f>PRODUCT(Table25[[#This Row],[Ticket Price]],Table25[[#This Row],[Passenger Count]])</f>
        <v>3350000</v>
      </c>
      <c r="L131" s="15">
        <f>Table25[[#This Row],[Revenue]]*(1-$O$2)</f>
        <v>3015000</v>
      </c>
    </row>
    <row r="132" spans="1:12" x14ac:dyDescent="0.35">
      <c r="A132" t="s">
        <v>127</v>
      </c>
      <c r="B132" t="s">
        <v>347</v>
      </c>
      <c r="C132" t="s">
        <v>582</v>
      </c>
      <c r="D132" s="2" t="s">
        <v>589</v>
      </c>
      <c r="E132" s="1" t="s">
        <v>595</v>
      </c>
      <c r="F132" s="3">
        <v>151</v>
      </c>
      <c r="G132" s="4">
        <v>50000</v>
      </c>
      <c r="H132" s="5">
        <v>146</v>
      </c>
      <c r="I132" s="6">
        <v>45698</v>
      </c>
      <c r="J132" s="2" t="s">
        <v>597</v>
      </c>
      <c r="K132" s="15">
        <f>PRODUCT(Table25[[#This Row],[Ticket Price]],Table25[[#This Row],[Passenger Count]])</f>
        <v>7300000</v>
      </c>
      <c r="L132" s="15">
        <f>Table25[[#This Row],[Revenue]]*(1-$O$2)</f>
        <v>6570000</v>
      </c>
    </row>
    <row r="133" spans="1:12" x14ac:dyDescent="0.35">
      <c r="A133" t="s">
        <v>128</v>
      </c>
      <c r="B133" t="s">
        <v>450</v>
      </c>
      <c r="C133" t="s">
        <v>588</v>
      </c>
      <c r="D133" s="2" t="s">
        <v>583</v>
      </c>
      <c r="E133" s="1" t="s">
        <v>592</v>
      </c>
      <c r="F133" s="3">
        <v>81</v>
      </c>
      <c r="G133" s="4">
        <v>120000</v>
      </c>
      <c r="H133" s="5">
        <v>142</v>
      </c>
      <c r="I133" s="6">
        <v>45700</v>
      </c>
      <c r="J133" s="2" t="s">
        <v>598</v>
      </c>
      <c r="K133" s="15">
        <f>PRODUCT(Table25[[#This Row],[Ticket Price]],Table25[[#This Row],[Passenger Count]])</f>
        <v>17040000</v>
      </c>
      <c r="L133" s="15">
        <f>Table25[[#This Row],[Revenue]]*(1-$O$2)</f>
        <v>15336000</v>
      </c>
    </row>
    <row r="134" spans="1:12" x14ac:dyDescent="0.35">
      <c r="A134" t="s">
        <v>129</v>
      </c>
      <c r="B134" t="s">
        <v>451</v>
      </c>
      <c r="C134" t="s">
        <v>583</v>
      </c>
      <c r="D134" s="2" t="s">
        <v>591</v>
      </c>
      <c r="E134" s="1" t="s">
        <v>593</v>
      </c>
      <c r="F134" s="3">
        <v>141</v>
      </c>
      <c r="G134" s="4">
        <v>80000</v>
      </c>
      <c r="H134" s="5">
        <v>79</v>
      </c>
      <c r="I134" s="6">
        <v>45666</v>
      </c>
      <c r="J134" s="2" t="s">
        <v>598</v>
      </c>
      <c r="K134" s="15">
        <f>PRODUCT(Table25[[#This Row],[Ticket Price]],Table25[[#This Row],[Passenger Count]])</f>
        <v>6320000</v>
      </c>
      <c r="L134" s="15">
        <f>Table25[[#This Row],[Revenue]]*(1-$O$2)</f>
        <v>5688000</v>
      </c>
    </row>
    <row r="135" spans="1:12" x14ac:dyDescent="0.35">
      <c r="A135" t="s">
        <v>130</v>
      </c>
      <c r="B135" t="s">
        <v>452</v>
      </c>
      <c r="C135" t="s">
        <v>586</v>
      </c>
      <c r="D135" s="2" t="s">
        <v>583</v>
      </c>
      <c r="E135" s="1" t="s">
        <v>592</v>
      </c>
      <c r="F135" s="3">
        <v>18</v>
      </c>
      <c r="G135" s="4">
        <v>120000</v>
      </c>
      <c r="H135" s="5">
        <v>134</v>
      </c>
      <c r="I135" s="6">
        <v>45812</v>
      </c>
      <c r="J135" s="2" t="s">
        <v>598</v>
      </c>
      <c r="K135" s="15">
        <f>PRODUCT(Table25[[#This Row],[Ticket Price]],Table25[[#This Row],[Passenger Count]])</f>
        <v>16080000</v>
      </c>
      <c r="L135" s="15">
        <f>Table25[[#This Row],[Revenue]]*(1-$O$2)</f>
        <v>14472000</v>
      </c>
    </row>
    <row r="136" spans="1:12" x14ac:dyDescent="0.35">
      <c r="A136" t="s">
        <v>131</v>
      </c>
      <c r="B136" t="s">
        <v>436</v>
      </c>
      <c r="C136" t="s">
        <v>588</v>
      </c>
      <c r="D136" s="2" t="s">
        <v>590</v>
      </c>
      <c r="E136" s="1" t="s">
        <v>593</v>
      </c>
      <c r="F136" s="3">
        <v>150</v>
      </c>
      <c r="G136" s="4">
        <v>60000</v>
      </c>
      <c r="H136" s="5">
        <v>66</v>
      </c>
      <c r="I136" s="6">
        <v>45668</v>
      </c>
      <c r="J136" s="2" t="s">
        <v>597</v>
      </c>
      <c r="K136" s="15">
        <f>PRODUCT(Table25[[#This Row],[Ticket Price]],Table25[[#This Row],[Passenger Count]])</f>
        <v>3960000</v>
      </c>
      <c r="L136" s="15">
        <f>Table25[[#This Row],[Revenue]]*(1-$O$2)</f>
        <v>3564000</v>
      </c>
    </row>
    <row r="137" spans="1:12" x14ac:dyDescent="0.35">
      <c r="A137" t="s">
        <v>132</v>
      </c>
      <c r="B137" t="s">
        <v>453</v>
      </c>
      <c r="C137" t="s">
        <v>583</v>
      </c>
      <c r="D137" s="2" t="s">
        <v>587</v>
      </c>
      <c r="E137" s="1" t="s">
        <v>595</v>
      </c>
      <c r="F137" s="3">
        <v>-4</v>
      </c>
      <c r="G137" s="4">
        <v>120000</v>
      </c>
      <c r="H137" s="5">
        <v>152</v>
      </c>
      <c r="I137" s="6">
        <v>45753</v>
      </c>
      <c r="J137" s="2" t="s">
        <v>598</v>
      </c>
      <c r="K137" s="15">
        <f>PRODUCT(Table25[[#This Row],[Ticket Price]],Table25[[#This Row],[Passenger Count]])</f>
        <v>18240000</v>
      </c>
      <c r="L137" s="15">
        <f>Table25[[#This Row],[Revenue]]*(1-$O$2)</f>
        <v>16416000</v>
      </c>
    </row>
    <row r="138" spans="1:12" x14ac:dyDescent="0.35">
      <c r="A138" t="s">
        <v>133</v>
      </c>
      <c r="B138" t="s">
        <v>454</v>
      </c>
      <c r="C138" t="s">
        <v>581</v>
      </c>
      <c r="D138" s="2" t="s">
        <v>589</v>
      </c>
      <c r="E138" s="1" t="s">
        <v>595</v>
      </c>
      <c r="F138" s="3">
        <v>98</v>
      </c>
      <c r="G138" s="4">
        <v>145000</v>
      </c>
      <c r="H138" s="5">
        <v>60</v>
      </c>
      <c r="I138" s="6">
        <v>45721</v>
      </c>
      <c r="J138" s="2" t="s">
        <v>597</v>
      </c>
      <c r="K138" s="15">
        <f>PRODUCT(Table25[[#This Row],[Ticket Price]],Table25[[#This Row],[Passenger Count]])</f>
        <v>8700000</v>
      </c>
      <c r="L138" s="15">
        <f>Table25[[#This Row],[Revenue]]*(1-$O$2)</f>
        <v>7830000</v>
      </c>
    </row>
    <row r="139" spans="1:12" x14ac:dyDescent="0.35">
      <c r="A139" t="s">
        <v>134</v>
      </c>
      <c r="B139" t="s">
        <v>455</v>
      </c>
      <c r="C139" t="s">
        <v>586</v>
      </c>
      <c r="D139" s="2" t="s">
        <v>582</v>
      </c>
      <c r="E139" s="1" t="s">
        <v>595</v>
      </c>
      <c r="F139" s="3">
        <v>7</v>
      </c>
      <c r="G139" s="4">
        <v>70000</v>
      </c>
      <c r="H139" s="5">
        <v>100</v>
      </c>
      <c r="I139" s="6">
        <v>45815</v>
      </c>
      <c r="J139" s="2" t="s">
        <v>598</v>
      </c>
      <c r="K139" s="15">
        <f>PRODUCT(Table25[[#This Row],[Ticket Price]],Table25[[#This Row],[Passenger Count]])</f>
        <v>7000000</v>
      </c>
      <c r="L139" s="15">
        <f>Table25[[#This Row],[Revenue]]*(1-$O$2)</f>
        <v>6300000</v>
      </c>
    </row>
    <row r="140" spans="1:12" x14ac:dyDescent="0.35">
      <c r="A140" t="s">
        <v>135</v>
      </c>
      <c r="B140" t="s">
        <v>456</v>
      </c>
      <c r="C140" t="s">
        <v>586</v>
      </c>
      <c r="D140" s="2" t="s">
        <v>590</v>
      </c>
      <c r="E140" s="1" t="s">
        <v>596</v>
      </c>
      <c r="F140" s="3">
        <v>164</v>
      </c>
      <c r="G140" s="4">
        <v>75000</v>
      </c>
      <c r="H140" s="5">
        <v>130</v>
      </c>
      <c r="I140" s="6">
        <v>45705</v>
      </c>
      <c r="J140" s="2" t="s">
        <v>597</v>
      </c>
      <c r="K140" s="15">
        <f>PRODUCT(Table25[[#This Row],[Ticket Price]],Table25[[#This Row],[Passenger Count]])</f>
        <v>9750000</v>
      </c>
      <c r="L140" s="15">
        <f>Table25[[#This Row],[Revenue]]*(1-$O$2)</f>
        <v>8775000</v>
      </c>
    </row>
    <row r="141" spans="1:12" x14ac:dyDescent="0.35">
      <c r="A141" t="s">
        <v>136</v>
      </c>
      <c r="B141" t="s">
        <v>425</v>
      </c>
      <c r="C141" t="s">
        <v>583</v>
      </c>
      <c r="D141" s="2" t="s">
        <v>589</v>
      </c>
      <c r="E141" s="1" t="s">
        <v>595</v>
      </c>
      <c r="F141" s="3">
        <v>76</v>
      </c>
      <c r="G141" s="4">
        <v>35000</v>
      </c>
      <c r="H141" s="5">
        <v>108</v>
      </c>
      <c r="I141" s="6">
        <v>45760</v>
      </c>
      <c r="J141" s="2" t="s">
        <v>598</v>
      </c>
      <c r="K141" s="15">
        <f>PRODUCT(Table25[[#This Row],[Ticket Price]],Table25[[#This Row],[Passenger Count]])</f>
        <v>3780000</v>
      </c>
      <c r="L141" s="15">
        <f>Table25[[#This Row],[Revenue]]*(1-$O$2)</f>
        <v>3402000</v>
      </c>
    </row>
    <row r="142" spans="1:12" x14ac:dyDescent="0.35">
      <c r="A142" t="s">
        <v>137</v>
      </c>
      <c r="B142" t="s">
        <v>457</v>
      </c>
      <c r="C142" t="s">
        <v>582</v>
      </c>
      <c r="D142" s="2" t="s">
        <v>587</v>
      </c>
      <c r="E142" s="1" t="s">
        <v>592</v>
      </c>
      <c r="F142" s="3">
        <v>32</v>
      </c>
      <c r="G142" s="4">
        <v>75000</v>
      </c>
      <c r="H142" s="5">
        <v>70</v>
      </c>
      <c r="I142" s="6">
        <v>45835</v>
      </c>
      <c r="J142" s="2" t="s">
        <v>597</v>
      </c>
      <c r="K142" s="15">
        <f>PRODUCT(Table25[[#This Row],[Ticket Price]],Table25[[#This Row],[Passenger Count]])</f>
        <v>5250000</v>
      </c>
      <c r="L142" s="15">
        <f>Table25[[#This Row],[Revenue]]*(1-$O$2)</f>
        <v>4725000</v>
      </c>
    </row>
    <row r="143" spans="1:12" x14ac:dyDescent="0.35">
      <c r="A143" t="s">
        <v>138</v>
      </c>
      <c r="B143" t="s">
        <v>458</v>
      </c>
      <c r="C143" t="s">
        <v>582</v>
      </c>
      <c r="D143" s="2" t="s">
        <v>584</v>
      </c>
      <c r="E143" s="1" t="s">
        <v>593</v>
      </c>
      <c r="F143" s="3">
        <v>-1</v>
      </c>
      <c r="G143" s="4">
        <v>150000</v>
      </c>
      <c r="H143" s="5">
        <v>162</v>
      </c>
      <c r="I143" s="6">
        <v>45666</v>
      </c>
      <c r="J143" s="2" t="s">
        <v>598</v>
      </c>
      <c r="K143" s="15">
        <f>PRODUCT(Table25[[#This Row],[Ticket Price]],Table25[[#This Row],[Passenger Count]])</f>
        <v>24300000</v>
      </c>
      <c r="L143" s="15">
        <f>Table25[[#This Row],[Revenue]]*(1-$O$2)</f>
        <v>21870000</v>
      </c>
    </row>
    <row r="144" spans="1:12" x14ac:dyDescent="0.35">
      <c r="A144" t="s">
        <v>139</v>
      </c>
      <c r="B144" t="s">
        <v>451</v>
      </c>
      <c r="C144" t="s">
        <v>587</v>
      </c>
      <c r="D144" s="2" t="s">
        <v>591</v>
      </c>
      <c r="E144" s="1" t="s">
        <v>593</v>
      </c>
      <c r="F144" s="3">
        <v>49</v>
      </c>
      <c r="G144" s="4">
        <v>140000</v>
      </c>
      <c r="H144" s="5">
        <v>121</v>
      </c>
      <c r="I144" s="6">
        <v>45669</v>
      </c>
      <c r="J144" s="2" t="s">
        <v>597</v>
      </c>
      <c r="K144" s="15">
        <f>PRODUCT(Table25[[#This Row],[Ticket Price]],Table25[[#This Row],[Passenger Count]])</f>
        <v>16940000</v>
      </c>
      <c r="L144" s="15">
        <f>Table25[[#This Row],[Revenue]]*(1-$O$2)</f>
        <v>15246000</v>
      </c>
    </row>
    <row r="145" spans="1:12" x14ac:dyDescent="0.35">
      <c r="A145" t="s">
        <v>140</v>
      </c>
      <c r="B145" t="s">
        <v>413</v>
      </c>
      <c r="C145" t="s">
        <v>582</v>
      </c>
      <c r="D145" s="2" t="s">
        <v>589</v>
      </c>
      <c r="E145" s="1" t="s">
        <v>593</v>
      </c>
      <c r="F145" s="3">
        <v>166</v>
      </c>
      <c r="G145" s="4">
        <v>50000</v>
      </c>
      <c r="H145" s="5">
        <v>121</v>
      </c>
      <c r="I145" s="6">
        <v>45678</v>
      </c>
      <c r="J145" s="2" t="s">
        <v>597</v>
      </c>
      <c r="K145" s="15">
        <f>PRODUCT(Table25[[#This Row],[Ticket Price]],Table25[[#This Row],[Passenger Count]])</f>
        <v>6050000</v>
      </c>
      <c r="L145" s="15">
        <f>Table25[[#This Row],[Revenue]]*(1-$O$2)</f>
        <v>5445000</v>
      </c>
    </row>
    <row r="146" spans="1:12" x14ac:dyDescent="0.35">
      <c r="A146" t="s">
        <v>141</v>
      </c>
      <c r="B146" t="s">
        <v>405</v>
      </c>
      <c r="C146" t="s">
        <v>587</v>
      </c>
      <c r="D146" s="2" t="s">
        <v>585</v>
      </c>
      <c r="E146" s="1" t="s">
        <v>594</v>
      </c>
      <c r="F146" s="3">
        <v>22</v>
      </c>
      <c r="G146" s="4">
        <v>145000</v>
      </c>
      <c r="H146" s="5">
        <v>127</v>
      </c>
      <c r="I146" s="6">
        <v>45736</v>
      </c>
      <c r="J146" s="2" t="s">
        <v>598</v>
      </c>
      <c r="K146" s="15">
        <f>PRODUCT(Table25[[#This Row],[Ticket Price]],Table25[[#This Row],[Passenger Count]])</f>
        <v>18415000</v>
      </c>
      <c r="L146" s="15">
        <f>Table25[[#This Row],[Revenue]]*(1-$O$2)</f>
        <v>16573500</v>
      </c>
    </row>
    <row r="147" spans="1:12" x14ac:dyDescent="0.35">
      <c r="A147" t="s">
        <v>142</v>
      </c>
      <c r="B147" t="s">
        <v>459</v>
      </c>
      <c r="C147" t="s">
        <v>586</v>
      </c>
      <c r="D147" s="2" t="s">
        <v>590</v>
      </c>
      <c r="E147" s="1" t="s">
        <v>593</v>
      </c>
      <c r="F147" s="3">
        <v>130</v>
      </c>
      <c r="G147" s="4">
        <v>55000</v>
      </c>
      <c r="H147" s="5">
        <v>104</v>
      </c>
      <c r="I147" s="6">
        <v>45759</v>
      </c>
      <c r="J147" s="2" t="s">
        <v>598</v>
      </c>
      <c r="K147" s="15">
        <f>PRODUCT(Table25[[#This Row],[Ticket Price]],Table25[[#This Row],[Passenger Count]])</f>
        <v>5720000</v>
      </c>
      <c r="L147" s="15">
        <f>Table25[[#This Row],[Revenue]]*(1-$O$2)</f>
        <v>5148000</v>
      </c>
    </row>
    <row r="148" spans="1:12" x14ac:dyDescent="0.35">
      <c r="A148" t="s">
        <v>143</v>
      </c>
      <c r="B148" t="s">
        <v>460</v>
      </c>
      <c r="C148" t="s">
        <v>587</v>
      </c>
      <c r="D148" s="2" t="s">
        <v>584</v>
      </c>
      <c r="E148" s="1" t="s">
        <v>596</v>
      </c>
      <c r="F148" s="3">
        <v>49</v>
      </c>
      <c r="G148" s="4">
        <v>150000</v>
      </c>
      <c r="H148" s="5">
        <v>144</v>
      </c>
      <c r="I148" s="6">
        <v>45837</v>
      </c>
      <c r="J148" s="2" t="s">
        <v>598</v>
      </c>
      <c r="K148" s="15">
        <f>PRODUCT(Table25[[#This Row],[Ticket Price]],Table25[[#This Row],[Passenger Count]])</f>
        <v>21600000</v>
      </c>
      <c r="L148" s="15">
        <f>Table25[[#This Row],[Revenue]]*(1-$O$2)</f>
        <v>19440000</v>
      </c>
    </row>
    <row r="149" spans="1:12" x14ac:dyDescent="0.35">
      <c r="A149" t="s">
        <v>144</v>
      </c>
      <c r="B149" t="s">
        <v>436</v>
      </c>
      <c r="C149" t="s">
        <v>584</v>
      </c>
      <c r="D149" s="2" t="s">
        <v>587</v>
      </c>
      <c r="E149" s="1" t="s">
        <v>596</v>
      </c>
      <c r="F149" s="3">
        <v>168</v>
      </c>
      <c r="G149" s="4">
        <v>120000</v>
      </c>
      <c r="H149" s="5">
        <v>75</v>
      </c>
      <c r="I149" s="6">
        <v>45792</v>
      </c>
      <c r="J149" s="2" t="s">
        <v>597</v>
      </c>
      <c r="K149" s="15">
        <f>PRODUCT(Table25[[#This Row],[Ticket Price]],Table25[[#This Row],[Passenger Count]])</f>
        <v>9000000</v>
      </c>
      <c r="L149" s="15">
        <f>Table25[[#This Row],[Revenue]]*(1-$O$2)</f>
        <v>8100000</v>
      </c>
    </row>
    <row r="150" spans="1:12" x14ac:dyDescent="0.35">
      <c r="A150" t="s">
        <v>145</v>
      </c>
      <c r="B150" t="s">
        <v>461</v>
      </c>
      <c r="C150" t="s">
        <v>584</v>
      </c>
      <c r="D150" s="2" t="s">
        <v>590</v>
      </c>
      <c r="E150" s="1" t="s">
        <v>593</v>
      </c>
      <c r="F150" s="3">
        <v>142</v>
      </c>
      <c r="G150" s="4">
        <v>70000</v>
      </c>
      <c r="H150" s="5">
        <v>127</v>
      </c>
      <c r="I150" s="6">
        <v>45668</v>
      </c>
      <c r="J150" s="2" t="s">
        <v>598</v>
      </c>
      <c r="K150" s="15">
        <f>PRODUCT(Table25[[#This Row],[Ticket Price]],Table25[[#This Row],[Passenger Count]])</f>
        <v>8890000</v>
      </c>
      <c r="L150" s="15">
        <f>Table25[[#This Row],[Revenue]]*(1-$O$2)</f>
        <v>8001000</v>
      </c>
    </row>
    <row r="151" spans="1:12" x14ac:dyDescent="0.35">
      <c r="A151" t="s">
        <v>146</v>
      </c>
      <c r="B151" t="s">
        <v>462</v>
      </c>
      <c r="C151" t="s">
        <v>583</v>
      </c>
      <c r="D151" s="2" t="s">
        <v>582</v>
      </c>
      <c r="E151" s="1" t="s">
        <v>592</v>
      </c>
      <c r="F151" s="3">
        <v>171</v>
      </c>
      <c r="G151" s="4">
        <v>95000</v>
      </c>
      <c r="H151" s="5">
        <v>173</v>
      </c>
      <c r="I151" s="6">
        <v>45758</v>
      </c>
      <c r="J151" s="2" t="s">
        <v>598</v>
      </c>
      <c r="K151" s="15">
        <f>PRODUCT(Table25[[#This Row],[Ticket Price]],Table25[[#This Row],[Passenger Count]])</f>
        <v>16435000</v>
      </c>
      <c r="L151" s="15">
        <f>Table25[[#This Row],[Revenue]]*(1-$O$2)</f>
        <v>14791500</v>
      </c>
    </row>
    <row r="152" spans="1:12" x14ac:dyDescent="0.35">
      <c r="A152" t="s">
        <v>147</v>
      </c>
      <c r="B152" t="s">
        <v>463</v>
      </c>
      <c r="C152" t="s">
        <v>586</v>
      </c>
      <c r="D152" s="2" t="s">
        <v>585</v>
      </c>
      <c r="E152" s="1" t="s">
        <v>593</v>
      </c>
      <c r="F152" s="3">
        <v>36</v>
      </c>
      <c r="G152" s="4">
        <v>100000</v>
      </c>
      <c r="H152" s="5">
        <v>107</v>
      </c>
      <c r="I152" s="6">
        <v>45838</v>
      </c>
      <c r="J152" s="2" t="s">
        <v>597</v>
      </c>
      <c r="K152" s="15">
        <f>PRODUCT(Table25[[#This Row],[Ticket Price]],Table25[[#This Row],[Passenger Count]])</f>
        <v>10700000</v>
      </c>
      <c r="L152" s="15">
        <f>Table25[[#This Row],[Revenue]]*(1-$O$2)</f>
        <v>9630000</v>
      </c>
    </row>
    <row r="153" spans="1:12" x14ac:dyDescent="0.35">
      <c r="A153" t="s">
        <v>148</v>
      </c>
      <c r="B153" t="s">
        <v>393</v>
      </c>
      <c r="C153" t="s">
        <v>587</v>
      </c>
      <c r="D153" s="2" t="s">
        <v>583</v>
      </c>
      <c r="E153" s="1" t="s">
        <v>592</v>
      </c>
      <c r="F153" s="3">
        <v>67</v>
      </c>
      <c r="G153" s="4">
        <v>70000</v>
      </c>
      <c r="H153" s="5">
        <v>154</v>
      </c>
      <c r="I153" s="6">
        <v>45818</v>
      </c>
      <c r="J153" s="2" t="s">
        <v>598</v>
      </c>
      <c r="K153" s="15">
        <f>PRODUCT(Table25[[#This Row],[Ticket Price]],Table25[[#This Row],[Passenger Count]])</f>
        <v>10780000</v>
      </c>
      <c r="L153" s="15">
        <f>Table25[[#This Row],[Revenue]]*(1-$O$2)</f>
        <v>9702000</v>
      </c>
    </row>
    <row r="154" spans="1:12" x14ac:dyDescent="0.35">
      <c r="A154" t="s">
        <v>149</v>
      </c>
      <c r="B154" t="s">
        <v>464</v>
      </c>
      <c r="C154" t="s">
        <v>586</v>
      </c>
      <c r="D154" s="2" t="s">
        <v>587</v>
      </c>
      <c r="E154" s="1" t="s">
        <v>595</v>
      </c>
      <c r="F154" s="3">
        <v>20</v>
      </c>
      <c r="G154" s="4">
        <v>100000</v>
      </c>
      <c r="H154" s="5">
        <v>104</v>
      </c>
      <c r="I154" s="6">
        <v>45680</v>
      </c>
      <c r="J154" s="2" t="s">
        <v>598</v>
      </c>
      <c r="K154" s="15">
        <f>PRODUCT(Table25[[#This Row],[Ticket Price]],Table25[[#This Row],[Passenger Count]])</f>
        <v>10400000</v>
      </c>
      <c r="L154" s="15">
        <f>Table25[[#This Row],[Revenue]]*(1-$O$2)</f>
        <v>9360000</v>
      </c>
    </row>
    <row r="155" spans="1:12" x14ac:dyDescent="0.35">
      <c r="A155" t="s">
        <v>150</v>
      </c>
      <c r="B155" t="s">
        <v>465</v>
      </c>
      <c r="C155" t="s">
        <v>586</v>
      </c>
      <c r="D155" s="2" t="s">
        <v>590</v>
      </c>
      <c r="E155" s="1" t="s">
        <v>596</v>
      </c>
      <c r="F155" s="3">
        <v>14</v>
      </c>
      <c r="G155" s="4">
        <v>55000</v>
      </c>
      <c r="H155" s="5">
        <v>90</v>
      </c>
      <c r="I155" s="6">
        <v>45699</v>
      </c>
      <c r="J155" s="2" t="s">
        <v>597</v>
      </c>
      <c r="K155" s="15">
        <f>PRODUCT(Table25[[#This Row],[Ticket Price]],Table25[[#This Row],[Passenger Count]])</f>
        <v>4950000</v>
      </c>
      <c r="L155" s="15">
        <f>Table25[[#This Row],[Revenue]]*(1-$O$2)</f>
        <v>4455000</v>
      </c>
    </row>
    <row r="156" spans="1:12" x14ac:dyDescent="0.35">
      <c r="A156" t="s">
        <v>151</v>
      </c>
      <c r="B156" t="s">
        <v>466</v>
      </c>
      <c r="C156" t="s">
        <v>588</v>
      </c>
      <c r="D156" s="2" t="s">
        <v>587</v>
      </c>
      <c r="E156" s="1" t="s">
        <v>595</v>
      </c>
      <c r="F156" s="3">
        <v>36</v>
      </c>
      <c r="G156" s="4">
        <v>115000</v>
      </c>
      <c r="H156" s="5">
        <v>89</v>
      </c>
      <c r="I156" s="6">
        <v>45769</v>
      </c>
      <c r="J156" s="2" t="s">
        <v>598</v>
      </c>
      <c r="K156" s="15">
        <f>PRODUCT(Table25[[#This Row],[Ticket Price]],Table25[[#This Row],[Passenger Count]])</f>
        <v>10235000</v>
      </c>
      <c r="L156" s="15">
        <f>Table25[[#This Row],[Revenue]]*(1-$O$2)</f>
        <v>9211500</v>
      </c>
    </row>
    <row r="157" spans="1:12" x14ac:dyDescent="0.35">
      <c r="A157" t="s">
        <v>152</v>
      </c>
      <c r="B157" t="s">
        <v>467</v>
      </c>
      <c r="C157" t="s">
        <v>584</v>
      </c>
      <c r="D157" s="2" t="s">
        <v>590</v>
      </c>
      <c r="E157" s="1" t="s">
        <v>595</v>
      </c>
      <c r="F157" s="3">
        <v>90</v>
      </c>
      <c r="G157" s="4">
        <v>110000</v>
      </c>
      <c r="H157" s="5">
        <v>169</v>
      </c>
      <c r="I157" s="6">
        <v>45701</v>
      </c>
      <c r="J157" s="2" t="s">
        <v>597</v>
      </c>
      <c r="K157" s="15">
        <f>PRODUCT(Table25[[#This Row],[Ticket Price]],Table25[[#This Row],[Passenger Count]])</f>
        <v>18590000</v>
      </c>
      <c r="L157" s="15">
        <f>Table25[[#This Row],[Revenue]]*(1-$O$2)</f>
        <v>16731000</v>
      </c>
    </row>
    <row r="158" spans="1:12" x14ac:dyDescent="0.35">
      <c r="A158" t="s">
        <v>153</v>
      </c>
      <c r="B158" t="s">
        <v>433</v>
      </c>
      <c r="C158" t="s">
        <v>585</v>
      </c>
      <c r="D158" s="2" t="s">
        <v>584</v>
      </c>
      <c r="E158" s="1" t="s">
        <v>596</v>
      </c>
      <c r="F158" s="3">
        <v>83</v>
      </c>
      <c r="G158" s="4">
        <v>85000</v>
      </c>
      <c r="H158" s="5">
        <v>62</v>
      </c>
      <c r="I158" s="6">
        <v>45762</v>
      </c>
      <c r="J158" s="2" t="s">
        <v>597</v>
      </c>
      <c r="K158" s="15">
        <f>PRODUCT(Table25[[#This Row],[Ticket Price]],Table25[[#This Row],[Passenger Count]])</f>
        <v>5270000</v>
      </c>
      <c r="L158" s="15">
        <f>Table25[[#This Row],[Revenue]]*(1-$O$2)</f>
        <v>4743000</v>
      </c>
    </row>
    <row r="159" spans="1:12" x14ac:dyDescent="0.35">
      <c r="A159" t="s">
        <v>154</v>
      </c>
      <c r="B159" t="s">
        <v>468</v>
      </c>
      <c r="C159" t="s">
        <v>585</v>
      </c>
      <c r="D159" s="2" t="s">
        <v>583</v>
      </c>
      <c r="E159" s="1" t="s">
        <v>594</v>
      </c>
      <c r="F159" s="3">
        <v>27</v>
      </c>
      <c r="G159" s="4">
        <v>145000</v>
      </c>
      <c r="H159" s="5">
        <v>112</v>
      </c>
      <c r="I159" s="6">
        <v>45786</v>
      </c>
      <c r="J159" s="2" t="s">
        <v>598</v>
      </c>
      <c r="K159" s="15">
        <f>PRODUCT(Table25[[#This Row],[Ticket Price]],Table25[[#This Row],[Passenger Count]])</f>
        <v>16240000</v>
      </c>
      <c r="L159" s="15">
        <f>Table25[[#This Row],[Revenue]]*(1-$O$2)</f>
        <v>14616000</v>
      </c>
    </row>
    <row r="160" spans="1:12" x14ac:dyDescent="0.35">
      <c r="A160" t="s">
        <v>155</v>
      </c>
      <c r="B160" t="s">
        <v>469</v>
      </c>
      <c r="C160" t="s">
        <v>583</v>
      </c>
      <c r="D160" s="2" t="s">
        <v>585</v>
      </c>
      <c r="E160" s="1" t="s">
        <v>594</v>
      </c>
      <c r="F160" s="3">
        <v>0</v>
      </c>
      <c r="G160" s="4">
        <v>145000</v>
      </c>
      <c r="H160" s="5">
        <v>130</v>
      </c>
      <c r="I160" s="6">
        <v>45771</v>
      </c>
      <c r="J160" s="2" t="s">
        <v>597</v>
      </c>
      <c r="K160" s="15">
        <f>PRODUCT(Table25[[#This Row],[Ticket Price]],Table25[[#This Row],[Passenger Count]])</f>
        <v>18850000</v>
      </c>
      <c r="L160" s="15">
        <f>Table25[[#This Row],[Revenue]]*(1-$O$2)</f>
        <v>16965000</v>
      </c>
    </row>
    <row r="161" spans="1:12" x14ac:dyDescent="0.35">
      <c r="A161" t="s">
        <v>156</v>
      </c>
      <c r="B161" t="s">
        <v>470</v>
      </c>
      <c r="C161" t="s">
        <v>581</v>
      </c>
      <c r="D161" s="2" t="s">
        <v>583</v>
      </c>
      <c r="E161" s="1" t="s">
        <v>596</v>
      </c>
      <c r="F161" s="3">
        <v>17</v>
      </c>
      <c r="G161" s="4">
        <v>145000</v>
      </c>
      <c r="H161" s="5">
        <v>60</v>
      </c>
      <c r="I161" s="6">
        <v>45713</v>
      </c>
      <c r="J161" s="2" t="s">
        <v>598</v>
      </c>
      <c r="K161" s="15">
        <f>PRODUCT(Table25[[#This Row],[Ticket Price]],Table25[[#This Row],[Passenger Count]])</f>
        <v>8700000</v>
      </c>
      <c r="L161" s="15">
        <f>Table25[[#This Row],[Revenue]]*(1-$O$2)</f>
        <v>7830000</v>
      </c>
    </row>
    <row r="162" spans="1:12" x14ac:dyDescent="0.35">
      <c r="A162" t="s">
        <v>157</v>
      </c>
      <c r="B162" t="s">
        <v>379</v>
      </c>
      <c r="C162" t="s">
        <v>587</v>
      </c>
      <c r="D162" s="2" t="s">
        <v>591</v>
      </c>
      <c r="E162" s="1" t="s">
        <v>594</v>
      </c>
      <c r="F162" s="3">
        <v>56</v>
      </c>
      <c r="G162" s="4">
        <v>120000</v>
      </c>
      <c r="H162" s="5">
        <v>113</v>
      </c>
      <c r="I162" s="6">
        <v>45734</v>
      </c>
      <c r="J162" s="2" t="s">
        <v>597</v>
      </c>
      <c r="K162" s="15">
        <f>PRODUCT(Table25[[#This Row],[Ticket Price]],Table25[[#This Row],[Passenger Count]])</f>
        <v>13560000</v>
      </c>
      <c r="L162" s="15">
        <f>Table25[[#This Row],[Revenue]]*(1-$O$2)</f>
        <v>12204000</v>
      </c>
    </row>
    <row r="163" spans="1:12" x14ac:dyDescent="0.35">
      <c r="A163" t="s">
        <v>158</v>
      </c>
      <c r="B163" t="s">
        <v>471</v>
      </c>
      <c r="C163" t="s">
        <v>584</v>
      </c>
      <c r="D163" s="2" t="s">
        <v>582</v>
      </c>
      <c r="E163" s="1" t="s">
        <v>595</v>
      </c>
      <c r="F163" s="3">
        <v>51</v>
      </c>
      <c r="G163" s="4">
        <v>35000</v>
      </c>
      <c r="H163" s="5">
        <v>166</v>
      </c>
      <c r="I163" s="6">
        <v>45783</v>
      </c>
      <c r="J163" s="2" t="s">
        <v>598</v>
      </c>
      <c r="K163" s="15">
        <f>PRODUCT(Table25[[#This Row],[Ticket Price]],Table25[[#This Row],[Passenger Count]])</f>
        <v>5810000</v>
      </c>
      <c r="L163" s="15">
        <f>Table25[[#This Row],[Revenue]]*(1-$O$2)</f>
        <v>5229000</v>
      </c>
    </row>
    <row r="164" spans="1:12" x14ac:dyDescent="0.35">
      <c r="A164" t="s">
        <v>159</v>
      </c>
      <c r="B164" t="s">
        <v>412</v>
      </c>
      <c r="C164" t="s">
        <v>588</v>
      </c>
      <c r="D164" s="2" t="s">
        <v>584</v>
      </c>
      <c r="E164" s="1" t="s">
        <v>596</v>
      </c>
      <c r="F164" s="3">
        <v>148</v>
      </c>
      <c r="G164" s="4">
        <v>135000</v>
      </c>
      <c r="H164" s="5">
        <v>68</v>
      </c>
      <c r="I164" s="6">
        <v>45794</v>
      </c>
      <c r="J164" s="2" t="s">
        <v>597</v>
      </c>
      <c r="K164" s="15">
        <f>PRODUCT(Table25[[#This Row],[Ticket Price]],Table25[[#This Row],[Passenger Count]])</f>
        <v>9180000</v>
      </c>
      <c r="L164" s="15">
        <f>Table25[[#This Row],[Revenue]]*(1-$O$2)</f>
        <v>8262000</v>
      </c>
    </row>
    <row r="165" spans="1:12" x14ac:dyDescent="0.35">
      <c r="A165" t="s">
        <v>160</v>
      </c>
      <c r="B165" t="s">
        <v>472</v>
      </c>
      <c r="C165" t="s">
        <v>587</v>
      </c>
      <c r="D165" s="2" t="s">
        <v>591</v>
      </c>
      <c r="E165" s="1" t="s">
        <v>592</v>
      </c>
      <c r="F165" s="3">
        <v>18</v>
      </c>
      <c r="G165" s="4">
        <v>85000</v>
      </c>
      <c r="H165" s="5">
        <v>144</v>
      </c>
      <c r="I165" s="6">
        <v>45810</v>
      </c>
      <c r="J165" s="2" t="s">
        <v>597</v>
      </c>
      <c r="K165" s="15">
        <f>PRODUCT(Table25[[#This Row],[Ticket Price]],Table25[[#This Row],[Passenger Count]])</f>
        <v>12240000</v>
      </c>
      <c r="L165" s="15">
        <f>Table25[[#This Row],[Revenue]]*(1-$O$2)</f>
        <v>11016000</v>
      </c>
    </row>
    <row r="166" spans="1:12" x14ac:dyDescent="0.35">
      <c r="A166" t="s">
        <v>161</v>
      </c>
      <c r="B166" t="s">
        <v>425</v>
      </c>
      <c r="C166" t="s">
        <v>581</v>
      </c>
      <c r="D166" s="2" t="s">
        <v>589</v>
      </c>
      <c r="E166" s="1" t="s">
        <v>596</v>
      </c>
      <c r="F166" s="3">
        <v>135</v>
      </c>
      <c r="G166" s="4">
        <v>35000</v>
      </c>
      <c r="H166" s="5">
        <v>75</v>
      </c>
      <c r="I166" s="6">
        <v>45809</v>
      </c>
      <c r="J166" s="2" t="s">
        <v>597</v>
      </c>
      <c r="K166" s="15">
        <f>PRODUCT(Table25[[#This Row],[Ticket Price]],Table25[[#This Row],[Passenger Count]])</f>
        <v>2625000</v>
      </c>
      <c r="L166" s="15">
        <f>Table25[[#This Row],[Revenue]]*(1-$O$2)</f>
        <v>2362500</v>
      </c>
    </row>
    <row r="167" spans="1:12" x14ac:dyDescent="0.35">
      <c r="A167" t="s">
        <v>162</v>
      </c>
      <c r="B167" t="s">
        <v>473</v>
      </c>
      <c r="C167" t="s">
        <v>583</v>
      </c>
      <c r="D167" s="2" t="s">
        <v>590</v>
      </c>
      <c r="E167" s="1" t="s">
        <v>595</v>
      </c>
      <c r="F167" s="3">
        <v>137</v>
      </c>
      <c r="G167" s="4">
        <v>35000</v>
      </c>
      <c r="H167" s="5">
        <v>77</v>
      </c>
      <c r="I167" s="6">
        <v>45757</v>
      </c>
      <c r="J167" s="2" t="s">
        <v>598</v>
      </c>
      <c r="K167" s="15">
        <f>PRODUCT(Table25[[#This Row],[Ticket Price]],Table25[[#This Row],[Passenger Count]])</f>
        <v>2695000</v>
      </c>
      <c r="L167" s="15">
        <f>Table25[[#This Row],[Revenue]]*(1-$O$2)</f>
        <v>2425500</v>
      </c>
    </row>
    <row r="168" spans="1:12" x14ac:dyDescent="0.35">
      <c r="A168" t="s">
        <v>163</v>
      </c>
      <c r="B168" t="s">
        <v>474</v>
      </c>
      <c r="C168" t="s">
        <v>583</v>
      </c>
      <c r="D168" s="2" t="s">
        <v>587</v>
      </c>
      <c r="E168" s="1" t="s">
        <v>593</v>
      </c>
      <c r="F168" s="3">
        <v>92</v>
      </c>
      <c r="G168" s="4">
        <v>100000</v>
      </c>
      <c r="H168" s="5">
        <v>66</v>
      </c>
      <c r="I168" s="6">
        <v>45706</v>
      </c>
      <c r="J168" s="2" t="s">
        <v>597</v>
      </c>
      <c r="K168" s="15">
        <f>PRODUCT(Table25[[#This Row],[Ticket Price]],Table25[[#This Row],[Passenger Count]])</f>
        <v>6600000</v>
      </c>
      <c r="L168" s="15">
        <f>Table25[[#This Row],[Revenue]]*(1-$O$2)</f>
        <v>5940000</v>
      </c>
    </row>
    <row r="169" spans="1:12" x14ac:dyDescent="0.35">
      <c r="A169" t="s">
        <v>164</v>
      </c>
      <c r="B169" t="s">
        <v>475</v>
      </c>
      <c r="C169" t="s">
        <v>583</v>
      </c>
      <c r="D169" s="2" t="s">
        <v>589</v>
      </c>
      <c r="E169" s="1" t="s">
        <v>592</v>
      </c>
      <c r="F169" s="3">
        <v>21</v>
      </c>
      <c r="G169" s="4">
        <v>140000</v>
      </c>
      <c r="H169" s="5">
        <v>118</v>
      </c>
      <c r="I169" s="6">
        <v>45675</v>
      </c>
      <c r="J169" s="2" t="s">
        <v>598</v>
      </c>
      <c r="K169" s="15">
        <f>PRODUCT(Table25[[#This Row],[Ticket Price]],Table25[[#This Row],[Passenger Count]])</f>
        <v>16520000</v>
      </c>
      <c r="L169" s="15">
        <f>Table25[[#This Row],[Revenue]]*(1-$O$2)</f>
        <v>14868000</v>
      </c>
    </row>
    <row r="170" spans="1:12" x14ac:dyDescent="0.35">
      <c r="A170" t="s">
        <v>165</v>
      </c>
      <c r="B170" t="s">
        <v>476</v>
      </c>
      <c r="C170" t="s">
        <v>588</v>
      </c>
      <c r="D170" s="2" t="s">
        <v>585</v>
      </c>
      <c r="E170" s="1" t="s">
        <v>596</v>
      </c>
      <c r="F170" s="3">
        <v>24</v>
      </c>
      <c r="G170" s="4">
        <v>80000</v>
      </c>
      <c r="H170" s="5">
        <v>149</v>
      </c>
      <c r="I170" s="6">
        <v>45756</v>
      </c>
      <c r="J170" s="2" t="s">
        <v>597</v>
      </c>
      <c r="K170" s="15">
        <f>PRODUCT(Table25[[#This Row],[Ticket Price]],Table25[[#This Row],[Passenger Count]])</f>
        <v>11920000</v>
      </c>
      <c r="L170" s="15">
        <f>Table25[[#This Row],[Revenue]]*(1-$O$2)</f>
        <v>10728000</v>
      </c>
    </row>
    <row r="171" spans="1:12" x14ac:dyDescent="0.35">
      <c r="A171" t="s">
        <v>166</v>
      </c>
      <c r="B171" t="s">
        <v>477</v>
      </c>
      <c r="C171" t="s">
        <v>585</v>
      </c>
      <c r="D171" s="2" t="s">
        <v>589</v>
      </c>
      <c r="E171" s="1" t="s">
        <v>592</v>
      </c>
      <c r="F171" s="3">
        <v>52</v>
      </c>
      <c r="G171" s="4">
        <v>40000</v>
      </c>
      <c r="H171" s="5">
        <v>148</v>
      </c>
      <c r="I171" s="6">
        <v>45749</v>
      </c>
      <c r="J171" s="2" t="s">
        <v>598</v>
      </c>
      <c r="K171" s="15">
        <f>PRODUCT(Table25[[#This Row],[Ticket Price]],Table25[[#This Row],[Passenger Count]])</f>
        <v>5920000</v>
      </c>
      <c r="L171" s="15">
        <f>Table25[[#This Row],[Revenue]]*(1-$O$2)</f>
        <v>5328000</v>
      </c>
    </row>
    <row r="172" spans="1:12" x14ac:dyDescent="0.35">
      <c r="A172" t="s">
        <v>167</v>
      </c>
      <c r="B172" t="s">
        <v>478</v>
      </c>
      <c r="C172" t="s">
        <v>587</v>
      </c>
      <c r="D172" s="2" t="s">
        <v>589</v>
      </c>
      <c r="E172" s="1" t="s">
        <v>593</v>
      </c>
      <c r="F172" s="3">
        <v>97</v>
      </c>
      <c r="G172" s="4">
        <v>140000</v>
      </c>
      <c r="H172" s="5">
        <v>76</v>
      </c>
      <c r="I172" s="6">
        <v>45733</v>
      </c>
      <c r="J172" s="2" t="s">
        <v>598</v>
      </c>
      <c r="K172" s="15">
        <f>PRODUCT(Table25[[#This Row],[Ticket Price]],Table25[[#This Row],[Passenger Count]])</f>
        <v>10640000</v>
      </c>
      <c r="L172" s="15">
        <f>Table25[[#This Row],[Revenue]]*(1-$O$2)</f>
        <v>9576000</v>
      </c>
    </row>
    <row r="173" spans="1:12" x14ac:dyDescent="0.35">
      <c r="A173" t="s">
        <v>168</v>
      </c>
      <c r="B173" t="s">
        <v>479</v>
      </c>
      <c r="C173" t="s">
        <v>587</v>
      </c>
      <c r="D173" s="2" t="s">
        <v>585</v>
      </c>
      <c r="E173" s="1" t="s">
        <v>593</v>
      </c>
      <c r="F173" s="3">
        <v>140</v>
      </c>
      <c r="G173" s="4">
        <v>90000</v>
      </c>
      <c r="H173" s="5">
        <v>146</v>
      </c>
      <c r="I173" s="6">
        <v>45664</v>
      </c>
      <c r="J173" s="2" t="s">
        <v>597</v>
      </c>
      <c r="K173" s="15">
        <f>PRODUCT(Table25[[#This Row],[Ticket Price]],Table25[[#This Row],[Passenger Count]])</f>
        <v>13140000</v>
      </c>
      <c r="L173" s="15">
        <f>Table25[[#This Row],[Revenue]]*(1-$O$2)</f>
        <v>11826000</v>
      </c>
    </row>
    <row r="174" spans="1:12" x14ac:dyDescent="0.35">
      <c r="A174" t="s">
        <v>169</v>
      </c>
      <c r="B174" t="s">
        <v>480</v>
      </c>
      <c r="C174" t="s">
        <v>587</v>
      </c>
      <c r="D174" s="2" t="s">
        <v>589</v>
      </c>
      <c r="E174" s="1" t="s">
        <v>593</v>
      </c>
      <c r="F174" s="3">
        <v>27</v>
      </c>
      <c r="G174" s="4">
        <v>30000</v>
      </c>
      <c r="H174" s="5">
        <v>144</v>
      </c>
      <c r="I174" s="6">
        <v>45756</v>
      </c>
      <c r="J174" s="2" t="s">
        <v>597</v>
      </c>
      <c r="K174" s="15">
        <f>PRODUCT(Table25[[#This Row],[Ticket Price]],Table25[[#This Row],[Passenger Count]])</f>
        <v>4320000</v>
      </c>
      <c r="L174" s="15">
        <f>Table25[[#This Row],[Revenue]]*(1-$O$2)</f>
        <v>3888000</v>
      </c>
    </row>
    <row r="175" spans="1:12" x14ac:dyDescent="0.35">
      <c r="A175" t="s">
        <v>170</v>
      </c>
      <c r="B175" t="s">
        <v>481</v>
      </c>
      <c r="C175" t="s">
        <v>583</v>
      </c>
      <c r="D175" s="2" t="s">
        <v>589</v>
      </c>
      <c r="E175" s="1" t="s">
        <v>596</v>
      </c>
      <c r="F175" s="3">
        <v>-3</v>
      </c>
      <c r="G175" s="4">
        <v>135000</v>
      </c>
      <c r="H175" s="5">
        <v>78</v>
      </c>
      <c r="I175" s="6">
        <v>45787</v>
      </c>
      <c r="J175" s="2" t="s">
        <v>598</v>
      </c>
      <c r="K175" s="15">
        <f>PRODUCT(Table25[[#This Row],[Ticket Price]],Table25[[#This Row],[Passenger Count]])</f>
        <v>10530000</v>
      </c>
      <c r="L175" s="15">
        <f>Table25[[#This Row],[Revenue]]*(1-$O$2)</f>
        <v>9477000</v>
      </c>
    </row>
    <row r="176" spans="1:12" x14ac:dyDescent="0.35">
      <c r="A176" t="s">
        <v>171</v>
      </c>
      <c r="B176" t="s">
        <v>482</v>
      </c>
      <c r="C176" t="s">
        <v>586</v>
      </c>
      <c r="D176" s="2" t="s">
        <v>587</v>
      </c>
      <c r="E176" s="1" t="s">
        <v>593</v>
      </c>
      <c r="F176" s="3">
        <v>108</v>
      </c>
      <c r="G176" s="4">
        <v>135000</v>
      </c>
      <c r="H176" s="5">
        <v>79</v>
      </c>
      <c r="I176" s="6">
        <v>45687</v>
      </c>
      <c r="J176" s="2" t="s">
        <v>598</v>
      </c>
      <c r="K176" s="15">
        <f>PRODUCT(Table25[[#This Row],[Ticket Price]],Table25[[#This Row],[Passenger Count]])</f>
        <v>10665000</v>
      </c>
      <c r="L176" s="15">
        <f>Table25[[#This Row],[Revenue]]*(1-$O$2)</f>
        <v>9598500</v>
      </c>
    </row>
    <row r="177" spans="1:12" x14ac:dyDescent="0.35">
      <c r="A177" t="s">
        <v>172</v>
      </c>
      <c r="B177" t="s">
        <v>380</v>
      </c>
      <c r="C177" t="s">
        <v>585</v>
      </c>
      <c r="D177" s="2" t="s">
        <v>587</v>
      </c>
      <c r="E177" s="1" t="s">
        <v>595</v>
      </c>
      <c r="F177" s="3">
        <v>103</v>
      </c>
      <c r="G177" s="4">
        <v>50000</v>
      </c>
      <c r="H177" s="5">
        <v>98</v>
      </c>
      <c r="I177" s="6">
        <v>45829</v>
      </c>
      <c r="J177" s="2" t="s">
        <v>597</v>
      </c>
      <c r="K177" s="15">
        <f>PRODUCT(Table25[[#This Row],[Ticket Price]],Table25[[#This Row],[Passenger Count]])</f>
        <v>4900000</v>
      </c>
      <c r="L177" s="15">
        <f>Table25[[#This Row],[Revenue]]*(1-$O$2)</f>
        <v>4410000</v>
      </c>
    </row>
    <row r="178" spans="1:12" x14ac:dyDescent="0.35">
      <c r="A178" t="s">
        <v>173</v>
      </c>
      <c r="B178" t="s">
        <v>483</v>
      </c>
      <c r="C178" t="s">
        <v>584</v>
      </c>
      <c r="D178" s="2" t="s">
        <v>590</v>
      </c>
      <c r="E178" s="1" t="s">
        <v>596</v>
      </c>
      <c r="F178" s="3">
        <v>172</v>
      </c>
      <c r="G178" s="4">
        <v>40000</v>
      </c>
      <c r="H178" s="5">
        <v>63</v>
      </c>
      <c r="I178" s="6">
        <v>45723</v>
      </c>
      <c r="J178" s="2" t="s">
        <v>597</v>
      </c>
      <c r="K178" s="15">
        <f>PRODUCT(Table25[[#This Row],[Ticket Price]],Table25[[#This Row],[Passenger Count]])</f>
        <v>2520000</v>
      </c>
      <c r="L178" s="15">
        <f>Table25[[#This Row],[Revenue]]*(1-$O$2)</f>
        <v>2268000</v>
      </c>
    </row>
    <row r="179" spans="1:12" x14ac:dyDescent="0.35">
      <c r="A179" t="s">
        <v>174</v>
      </c>
      <c r="B179" t="s">
        <v>484</v>
      </c>
      <c r="C179" t="s">
        <v>583</v>
      </c>
      <c r="D179" s="2" t="s">
        <v>587</v>
      </c>
      <c r="E179" s="1" t="s">
        <v>595</v>
      </c>
      <c r="F179" s="3">
        <v>79</v>
      </c>
      <c r="G179" s="4">
        <v>50000</v>
      </c>
      <c r="H179" s="5">
        <v>116</v>
      </c>
      <c r="I179" s="6">
        <v>45674</v>
      </c>
      <c r="J179" s="2" t="s">
        <v>597</v>
      </c>
      <c r="K179" s="15">
        <f>PRODUCT(Table25[[#This Row],[Ticket Price]],Table25[[#This Row],[Passenger Count]])</f>
        <v>5800000</v>
      </c>
      <c r="L179" s="15">
        <f>Table25[[#This Row],[Revenue]]*(1-$O$2)</f>
        <v>5220000</v>
      </c>
    </row>
    <row r="180" spans="1:12" x14ac:dyDescent="0.35">
      <c r="A180" t="s">
        <v>175</v>
      </c>
      <c r="B180" t="s">
        <v>485</v>
      </c>
      <c r="C180" t="s">
        <v>585</v>
      </c>
      <c r="D180" s="2" t="s">
        <v>591</v>
      </c>
      <c r="E180" s="1" t="s">
        <v>596</v>
      </c>
      <c r="F180" s="3">
        <v>85</v>
      </c>
      <c r="G180" s="4">
        <v>40000</v>
      </c>
      <c r="H180" s="5">
        <v>102</v>
      </c>
      <c r="I180" s="6">
        <v>45834</v>
      </c>
      <c r="J180" s="2" t="s">
        <v>598</v>
      </c>
      <c r="K180" s="15">
        <f>PRODUCT(Table25[[#This Row],[Ticket Price]],Table25[[#This Row],[Passenger Count]])</f>
        <v>4080000</v>
      </c>
      <c r="L180" s="15">
        <f>Table25[[#This Row],[Revenue]]*(1-$O$2)</f>
        <v>3672000</v>
      </c>
    </row>
    <row r="181" spans="1:12" x14ac:dyDescent="0.35">
      <c r="A181" t="s">
        <v>176</v>
      </c>
      <c r="B181" t="s">
        <v>396</v>
      </c>
      <c r="C181" t="s">
        <v>584</v>
      </c>
      <c r="D181" s="2" t="s">
        <v>589</v>
      </c>
      <c r="E181" s="1" t="s">
        <v>595</v>
      </c>
      <c r="F181" s="3">
        <v>71</v>
      </c>
      <c r="G181" s="4">
        <v>65000</v>
      </c>
      <c r="H181" s="5">
        <v>120</v>
      </c>
      <c r="I181" s="6">
        <v>45660</v>
      </c>
      <c r="J181" s="2" t="s">
        <v>597</v>
      </c>
      <c r="K181" s="15">
        <f>PRODUCT(Table25[[#This Row],[Ticket Price]],Table25[[#This Row],[Passenger Count]])</f>
        <v>7800000</v>
      </c>
      <c r="L181" s="15">
        <f>Table25[[#This Row],[Revenue]]*(1-$O$2)</f>
        <v>7020000</v>
      </c>
    </row>
    <row r="182" spans="1:12" x14ac:dyDescent="0.35">
      <c r="A182" t="s">
        <v>177</v>
      </c>
      <c r="B182" t="s">
        <v>486</v>
      </c>
      <c r="C182" t="s">
        <v>583</v>
      </c>
      <c r="D182" s="2" t="s">
        <v>584</v>
      </c>
      <c r="E182" s="1" t="s">
        <v>592</v>
      </c>
      <c r="F182" s="3">
        <v>164</v>
      </c>
      <c r="G182" s="4">
        <v>80000</v>
      </c>
      <c r="H182" s="5">
        <v>115</v>
      </c>
      <c r="I182" s="6">
        <v>45715</v>
      </c>
      <c r="J182" s="2" t="s">
        <v>598</v>
      </c>
      <c r="K182" s="15">
        <f>PRODUCT(Table25[[#This Row],[Ticket Price]],Table25[[#This Row],[Passenger Count]])</f>
        <v>9200000</v>
      </c>
      <c r="L182" s="15">
        <f>Table25[[#This Row],[Revenue]]*(1-$O$2)</f>
        <v>8280000</v>
      </c>
    </row>
    <row r="183" spans="1:12" x14ac:dyDescent="0.35">
      <c r="A183" t="s">
        <v>178</v>
      </c>
      <c r="B183" t="s">
        <v>487</v>
      </c>
      <c r="C183" t="s">
        <v>582</v>
      </c>
      <c r="D183" s="2" t="s">
        <v>585</v>
      </c>
      <c r="E183" s="1" t="s">
        <v>595</v>
      </c>
      <c r="F183" s="3">
        <v>172</v>
      </c>
      <c r="G183" s="4">
        <v>35000</v>
      </c>
      <c r="H183" s="5">
        <v>141</v>
      </c>
      <c r="I183" s="6">
        <v>45816</v>
      </c>
      <c r="J183" s="2" t="s">
        <v>597</v>
      </c>
      <c r="K183" s="15">
        <f>PRODUCT(Table25[[#This Row],[Ticket Price]],Table25[[#This Row],[Passenger Count]])</f>
        <v>4935000</v>
      </c>
      <c r="L183" s="15">
        <f>Table25[[#This Row],[Revenue]]*(1-$O$2)</f>
        <v>4441500</v>
      </c>
    </row>
    <row r="184" spans="1:12" x14ac:dyDescent="0.35">
      <c r="A184" t="s">
        <v>179</v>
      </c>
      <c r="B184" t="s">
        <v>367</v>
      </c>
      <c r="C184" t="s">
        <v>584</v>
      </c>
      <c r="D184" s="2" t="s">
        <v>591</v>
      </c>
      <c r="E184" s="1" t="s">
        <v>593</v>
      </c>
      <c r="F184" s="3">
        <v>74</v>
      </c>
      <c r="G184" s="4">
        <v>140000</v>
      </c>
      <c r="H184" s="5">
        <v>97</v>
      </c>
      <c r="I184" s="6">
        <v>45705</v>
      </c>
      <c r="J184" s="2" t="s">
        <v>598</v>
      </c>
      <c r="K184" s="15">
        <f>PRODUCT(Table25[[#This Row],[Ticket Price]],Table25[[#This Row],[Passenger Count]])</f>
        <v>13580000</v>
      </c>
      <c r="L184" s="15">
        <f>Table25[[#This Row],[Revenue]]*(1-$O$2)</f>
        <v>12222000</v>
      </c>
    </row>
    <row r="185" spans="1:12" x14ac:dyDescent="0.35">
      <c r="A185" t="s">
        <v>180</v>
      </c>
      <c r="B185" t="s">
        <v>488</v>
      </c>
      <c r="C185" t="s">
        <v>587</v>
      </c>
      <c r="D185" s="2" t="s">
        <v>589</v>
      </c>
      <c r="E185" s="1" t="s">
        <v>594</v>
      </c>
      <c r="F185" s="3">
        <v>159</v>
      </c>
      <c r="G185" s="4">
        <v>75000</v>
      </c>
      <c r="H185" s="5">
        <v>138</v>
      </c>
      <c r="I185" s="6">
        <v>45725</v>
      </c>
      <c r="J185" s="2" t="s">
        <v>598</v>
      </c>
      <c r="K185" s="15">
        <f>PRODUCT(Table25[[#This Row],[Ticket Price]],Table25[[#This Row],[Passenger Count]])</f>
        <v>10350000</v>
      </c>
      <c r="L185" s="15">
        <f>Table25[[#This Row],[Revenue]]*(1-$O$2)</f>
        <v>9315000</v>
      </c>
    </row>
    <row r="186" spans="1:12" x14ac:dyDescent="0.35">
      <c r="A186" t="s">
        <v>181</v>
      </c>
      <c r="B186" t="s">
        <v>489</v>
      </c>
      <c r="C186" t="s">
        <v>582</v>
      </c>
      <c r="D186" s="2" t="s">
        <v>583</v>
      </c>
      <c r="E186" s="1" t="s">
        <v>592</v>
      </c>
      <c r="F186" s="3">
        <v>179</v>
      </c>
      <c r="G186" s="4">
        <v>30000</v>
      </c>
      <c r="H186" s="5">
        <v>77</v>
      </c>
      <c r="I186" s="6">
        <v>45664</v>
      </c>
      <c r="J186" s="2" t="s">
        <v>597</v>
      </c>
      <c r="K186" s="15">
        <f>PRODUCT(Table25[[#This Row],[Ticket Price]],Table25[[#This Row],[Passenger Count]])</f>
        <v>2310000</v>
      </c>
      <c r="L186" s="15">
        <f>Table25[[#This Row],[Revenue]]*(1-$O$2)</f>
        <v>2079000</v>
      </c>
    </row>
    <row r="187" spans="1:12" x14ac:dyDescent="0.35">
      <c r="A187" t="s">
        <v>182</v>
      </c>
      <c r="B187" t="s">
        <v>431</v>
      </c>
      <c r="C187" t="s">
        <v>582</v>
      </c>
      <c r="D187" s="2" t="s">
        <v>583</v>
      </c>
      <c r="E187" s="1" t="s">
        <v>592</v>
      </c>
      <c r="F187" s="3">
        <v>125</v>
      </c>
      <c r="G187" s="4">
        <v>135000</v>
      </c>
      <c r="H187" s="5">
        <v>128</v>
      </c>
      <c r="I187" s="6">
        <v>45693</v>
      </c>
      <c r="J187" s="2" t="s">
        <v>597</v>
      </c>
      <c r="K187" s="15">
        <f>PRODUCT(Table25[[#This Row],[Ticket Price]],Table25[[#This Row],[Passenger Count]])</f>
        <v>17280000</v>
      </c>
      <c r="L187" s="15">
        <f>Table25[[#This Row],[Revenue]]*(1-$O$2)</f>
        <v>15552000</v>
      </c>
    </row>
    <row r="188" spans="1:12" x14ac:dyDescent="0.35">
      <c r="A188" t="s">
        <v>183</v>
      </c>
      <c r="B188" t="s">
        <v>450</v>
      </c>
      <c r="C188" t="s">
        <v>585</v>
      </c>
      <c r="D188" s="2" t="s">
        <v>587</v>
      </c>
      <c r="E188" s="1" t="s">
        <v>592</v>
      </c>
      <c r="F188" s="3">
        <v>80</v>
      </c>
      <c r="G188" s="4">
        <v>145000</v>
      </c>
      <c r="H188" s="5">
        <v>63</v>
      </c>
      <c r="I188" s="6">
        <v>45696</v>
      </c>
      <c r="J188" s="2" t="s">
        <v>597</v>
      </c>
      <c r="K188" s="15">
        <f>PRODUCT(Table25[[#This Row],[Ticket Price]],Table25[[#This Row],[Passenger Count]])</f>
        <v>9135000</v>
      </c>
      <c r="L188" s="15">
        <f>Table25[[#This Row],[Revenue]]*(1-$O$2)</f>
        <v>8221500</v>
      </c>
    </row>
    <row r="189" spans="1:12" x14ac:dyDescent="0.35">
      <c r="A189" t="s">
        <v>184</v>
      </c>
      <c r="B189" t="s">
        <v>490</v>
      </c>
      <c r="C189" t="s">
        <v>581</v>
      </c>
      <c r="D189" s="2" t="s">
        <v>584</v>
      </c>
      <c r="E189" s="1" t="s">
        <v>594</v>
      </c>
      <c r="F189" s="3">
        <v>172</v>
      </c>
      <c r="G189" s="4">
        <v>100000</v>
      </c>
      <c r="H189" s="5">
        <v>133</v>
      </c>
      <c r="I189" s="6">
        <v>45733</v>
      </c>
      <c r="J189" s="2" t="s">
        <v>597</v>
      </c>
      <c r="K189" s="15">
        <f>PRODUCT(Table25[[#This Row],[Ticket Price]],Table25[[#This Row],[Passenger Count]])</f>
        <v>13300000</v>
      </c>
      <c r="L189" s="15">
        <f>Table25[[#This Row],[Revenue]]*(1-$O$2)</f>
        <v>11970000</v>
      </c>
    </row>
    <row r="190" spans="1:12" x14ac:dyDescent="0.35">
      <c r="A190" t="s">
        <v>185</v>
      </c>
      <c r="B190" t="s">
        <v>491</v>
      </c>
      <c r="C190" t="s">
        <v>588</v>
      </c>
      <c r="D190" s="2" t="s">
        <v>590</v>
      </c>
      <c r="E190" s="1" t="s">
        <v>596</v>
      </c>
      <c r="F190" s="3">
        <v>119</v>
      </c>
      <c r="G190" s="4">
        <v>45000</v>
      </c>
      <c r="H190" s="5">
        <v>69</v>
      </c>
      <c r="I190" s="6">
        <v>45669</v>
      </c>
      <c r="J190" s="2" t="s">
        <v>598</v>
      </c>
      <c r="K190" s="15">
        <f>PRODUCT(Table25[[#This Row],[Ticket Price]],Table25[[#This Row],[Passenger Count]])</f>
        <v>3105000</v>
      </c>
      <c r="L190" s="15">
        <f>Table25[[#This Row],[Revenue]]*(1-$O$2)</f>
        <v>2794500</v>
      </c>
    </row>
    <row r="191" spans="1:12" x14ac:dyDescent="0.35">
      <c r="A191" t="s">
        <v>186</v>
      </c>
      <c r="B191" t="s">
        <v>492</v>
      </c>
      <c r="C191" t="s">
        <v>588</v>
      </c>
      <c r="D191" s="2" t="s">
        <v>590</v>
      </c>
      <c r="E191" s="1" t="s">
        <v>596</v>
      </c>
      <c r="F191" s="3">
        <v>93</v>
      </c>
      <c r="G191" s="4">
        <v>70000</v>
      </c>
      <c r="H191" s="5">
        <v>123</v>
      </c>
      <c r="I191" s="6">
        <v>45666</v>
      </c>
      <c r="J191" s="2" t="s">
        <v>598</v>
      </c>
      <c r="K191" s="15">
        <f>PRODUCT(Table25[[#This Row],[Ticket Price]],Table25[[#This Row],[Passenger Count]])</f>
        <v>8610000</v>
      </c>
      <c r="L191" s="15">
        <f>Table25[[#This Row],[Revenue]]*(1-$O$2)</f>
        <v>7749000</v>
      </c>
    </row>
    <row r="192" spans="1:12" x14ac:dyDescent="0.35">
      <c r="A192" t="s">
        <v>187</v>
      </c>
      <c r="B192" t="s">
        <v>472</v>
      </c>
      <c r="C192" t="s">
        <v>586</v>
      </c>
      <c r="D192" s="2" t="s">
        <v>591</v>
      </c>
      <c r="E192" s="1" t="s">
        <v>592</v>
      </c>
      <c r="F192" s="3">
        <v>169</v>
      </c>
      <c r="G192" s="4">
        <v>40000</v>
      </c>
      <c r="H192" s="5">
        <v>111</v>
      </c>
      <c r="I192" s="6">
        <v>45746</v>
      </c>
      <c r="J192" s="2" t="s">
        <v>597</v>
      </c>
      <c r="K192" s="15">
        <f>PRODUCT(Table25[[#This Row],[Ticket Price]],Table25[[#This Row],[Passenger Count]])</f>
        <v>4440000</v>
      </c>
      <c r="L192" s="15">
        <f>Table25[[#This Row],[Revenue]]*(1-$O$2)</f>
        <v>3996000</v>
      </c>
    </row>
    <row r="193" spans="1:12" x14ac:dyDescent="0.35">
      <c r="A193" t="s">
        <v>188</v>
      </c>
      <c r="B193" t="s">
        <v>493</v>
      </c>
      <c r="C193" t="s">
        <v>586</v>
      </c>
      <c r="D193" s="2" t="s">
        <v>591</v>
      </c>
      <c r="E193" s="1" t="s">
        <v>593</v>
      </c>
      <c r="F193" s="3">
        <v>29</v>
      </c>
      <c r="G193" s="4">
        <v>50000</v>
      </c>
      <c r="H193" s="5">
        <v>178</v>
      </c>
      <c r="I193" s="6">
        <v>45668</v>
      </c>
      <c r="J193" s="2" t="s">
        <v>597</v>
      </c>
      <c r="K193" s="15">
        <f>PRODUCT(Table25[[#This Row],[Ticket Price]],Table25[[#This Row],[Passenger Count]])</f>
        <v>8900000</v>
      </c>
      <c r="L193" s="15">
        <f>Table25[[#This Row],[Revenue]]*(1-$O$2)</f>
        <v>8010000</v>
      </c>
    </row>
    <row r="194" spans="1:12" x14ac:dyDescent="0.35">
      <c r="A194" t="s">
        <v>189</v>
      </c>
      <c r="B194" t="s">
        <v>494</v>
      </c>
      <c r="C194" t="s">
        <v>587</v>
      </c>
      <c r="D194" s="2" t="s">
        <v>590</v>
      </c>
      <c r="E194" s="1" t="s">
        <v>595</v>
      </c>
      <c r="F194" s="3">
        <v>143</v>
      </c>
      <c r="G194" s="4">
        <v>130000</v>
      </c>
      <c r="H194" s="5">
        <v>75</v>
      </c>
      <c r="I194" s="6">
        <v>45759</v>
      </c>
      <c r="J194" s="2" t="s">
        <v>597</v>
      </c>
      <c r="K194" s="15">
        <f>PRODUCT(Table25[[#This Row],[Ticket Price]],Table25[[#This Row],[Passenger Count]])</f>
        <v>9750000</v>
      </c>
      <c r="L194" s="15">
        <f>Table25[[#This Row],[Revenue]]*(1-$O$2)</f>
        <v>8775000</v>
      </c>
    </row>
    <row r="195" spans="1:12" x14ac:dyDescent="0.35">
      <c r="A195" t="s">
        <v>190</v>
      </c>
      <c r="B195" t="s">
        <v>495</v>
      </c>
      <c r="C195" t="s">
        <v>582</v>
      </c>
      <c r="D195" s="2" t="s">
        <v>584</v>
      </c>
      <c r="E195" s="1" t="s">
        <v>593</v>
      </c>
      <c r="F195" s="3">
        <v>87</v>
      </c>
      <c r="G195" s="4">
        <v>40000</v>
      </c>
      <c r="H195" s="5">
        <v>162</v>
      </c>
      <c r="I195" s="6">
        <v>45785</v>
      </c>
      <c r="J195" s="2" t="s">
        <v>598</v>
      </c>
      <c r="K195" s="15">
        <f>PRODUCT(Table25[[#This Row],[Ticket Price]],Table25[[#This Row],[Passenger Count]])</f>
        <v>6480000</v>
      </c>
      <c r="L195" s="15">
        <f>Table25[[#This Row],[Revenue]]*(1-$O$2)</f>
        <v>5832000</v>
      </c>
    </row>
    <row r="196" spans="1:12" x14ac:dyDescent="0.35">
      <c r="A196" t="s">
        <v>191</v>
      </c>
      <c r="B196" t="s">
        <v>383</v>
      </c>
      <c r="C196" t="s">
        <v>581</v>
      </c>
      <c r="D196" s="2" t="s">
        <v>582</v>
      </c>
      <c r="E196" s="1" t="s">
        <v>594</v>
      </c>
      <c r="F196" s="3">
        <v>166</v>
      </c>
      <c r="G196" s="4">
        <v>50000</v>
      </c>
      <c r="H196" s="5">
        <v>116</v>
      </c>
      <c r="I196" s="6">
        <v>45712</v>
      </c>
      <c r="J196" s="2" t="s">
        <v>598</v>
      </c>
      <c r="K196" s="15">
        <f>PRODUCT(Table25[[#This Row],[Ticket Price]],Table25[[#This Row],[Passenger Count]])</f>
        <v>5800000</v>
      </c>
      <c r="L196" s="15">
        <f>Table25[[#This Row],[Revenue]]*(1-$O$2)</f>
        <v>5220000</v>
      </c>
    </row>
    <row r="197" spans="1:12" x14ac:dyDescent="0.35">
      <c r="A197" t="s">
        <v>192</v>
      </c>
      <c r="B197" t="s">
        <v>496</v>
      </c>
      <c r="C197" t="s">
        <v>581</v>
      </c>
      <c r="D197" s="2" t="s">
        <v>587</v>
      </c>
      <c r="E197" s="1" t="s">
        <v>592</v>
      </c>
      <c r="F197" s="3">
        <v>165</v>
      </c>
      <c r="G197" s="4">
        <v>140000</v>
      </c>
      <c r="H197" s="5">
        <v>96</v>
      </c>
      <c r="I197" s="6">
        <v>45834</v>
      </c>
      <c r="J197" s="2" t="s">
        <v>598</v>
      </c>
      <c r="K197" s="15">
        <f>PRODUCT(Table25[[#This Row],[Ticket Price]],Table25[[#This Row],[Passenger Count]])</f>
        <v>13440000</v>
      </c>
      <c r="L197" s="15">
        <f>Table25[[#This Row],[Revenue]]*(1-$O$2)</f>
        <v>12096000</v>
      </c>
    </row>
    <row r="198" spans="1:12" x14ac:dyDescent="0.35">
      <c r="A198" t="s">
        <v>193</v>
      </c>
      <c r="B198" t="s">
        <v>457</v>
      </c>
      <c r="C198" t="s">
        <v>585</v>
      </c>
      <c r="D198" s="2" t="s">
        <v>582</v>
      </c>
      <c r="E198" s="1" t="s">
        <v>594</v>
      </c>
      <c r="F198" s="3">
        <v>147</v>
      </c>
      <c r="G198" s="4">
        <v>35000</v>
      </c>
      <c r="H198" s="5">
        <v>105</v>
      </c>
      <c r="I198" s="6">
        <v>45705</v>
      </c>
      <c r="J198" s="2" t="s">
        <v>597</v>
      </c>
      <c r="K198" s="15">
        <f>PRODUCT(Table25[[#This Row],[Ticket Price]],Table25[[#This Row],[Passenger Count]])</f>
        <v>3675000</v>
      </c>
      <c r="L198" s="15">
        <f>Table25[[#This Row],[Revenue]]*(1-$O$2)</f>
        <v>3307500</v>
      </c>
    </row>
    <row r="199" spans="1:12" x14ac:dyDescent="0.35">
      <c r="A199" t="s">
        <v>194</v>
      </c>
      <c r="B199" t="s">
        <v>497</v>
      </c>
      <c r="C199" t="s">
        <v>581</v>
      </c>
      <c r="D199" s="2" t="s">
        <v>589</v>
      </c>
      <c r="E199" s="1" t="s">
        <v>592</v>
      </c>
      <c r="F199" s="3">
        <v>16</v>
      </c>
      <c r="G199" s="4">
        <v>110000</v>
      </c>
      <c r="H199" s="5">
        <v>169</v>
      </c>
      <c r="I199" s="6">
        <v>45799</v>
      </c>
      <c r="J199" s="2" t="s">
        <v>597</v>
      </c>
      <c r="K199" s="15">
        <f>PRODUCT(Table25[[#This Row],[Ticket Price]],Table25[[#This Row],[Passenger Count]])</f>
        <v>18590000</v>
      </c>
      <c r="L199" s="15">
        <f>Table25[[#This Row],[Revenue]]*(1-$O$2)</f>
        <v>16731000</v>
      </c>
    </row>
    <row r="200" spans="1:12" x14ac:dyDescent="0.35">
      <c r="A200" t="s">
        <v>195</v>
      </c>
      <c r="B200" t="s">
        <v>429</v>
      </c>
      <c r="C200" t="s">
        <v>581</v>
      </c>
      <c r="D200" s="2" t="s">
        <v>585</v>
      </c>
      <c r="E200" s="1" t="s">
        <v>596</v>
      </c>
      <c r="F200" s="3">
        <v>129</v>
      </c>
      <c r="G200" s="4">
        <v>135000</v>
      </c>
      <c r="H200" s="5">
        <v>60</v>
      </c>
      <c r="I200" s="6">
        <v>45703</v>
      </c>
      <c r="J200" s="2" t="s">
        <v>598</v>
      </c>
      <c r="K200" s="15">
        <f>PRODUCT(Table25[[#This Row],[Ticket Price]],Table25[[#This Row],[Passenger Count]])</f>
        <v>8100000</v>
      </c>
      <c r="L200" s="15">
        <f>Table25[[#This Row],[Revenue]]*(1-$O$2)</f>
        <v>7290000</v>
      </c>
    </row>
    <row r="201" spans="1:12" x14ac:dyDescent="0.35">
      <c r="A201" t="s">
        <v>196</v>
      </c>
      <c r="B201" t="s">
        <v>498</v>
      </c>
      <c r="C201" t="s">
        <v>588</v>
      </c>
      <c r="D201" s="2" t="s">
        <v>591</v>
      </c>
      <c r="E201" s="1" t="s">
        <v>593</v>
      </c>
      <c r="F201" s="3">
        <v>130</v>
      </c>
      <c r="G201" s="4">
        <v>65000</v>
      </c>
      <c r="H201" s="5">
        <v>115</v>
      </c>
      <c r="I201" s="6">
        <v>45779</v>
      </c>
      <c r="J201" s="2" t="s">
        <v>597</v>
      </c>
      <c r="K201" s="15">
        <f>PRODUCT(Table25[[#This Row],[Ticket Price]],Table25[[#This Row],[Passenger Count]])</f>
        <v>7475000</v>
      </c>
      <c r="L201" s="15">
        <f>Table25[[#This Row],[Revenue]]*(1-$O$2)</f>
        <v>6727500</v>
      </c>
    </row>
    <row r="202" spans="1:12" x14ac:dyDescent="0.35">
      <c r="A202" t="s">
        <v>197</v>
      </c>
      <c r="B202" t="s">
        <v>441</v>
      </c>
      <c r="C202" t="s">
        <v>588</v>
      </c>
      <c r="D202" s="2" t="s">
        <v>583</v>
      </c>
      <c r="E202" s="1" t="s">
        <v>595</v>
      </c>
      <c r="F202" s="3">
        <v>3</v>
      </c>
      <c r="G202" s="4">
        <v>60000</v>
      </c>
      <c r="H202" s="5">
        <v>160</v>
      </c>
      <c r="I202" s="6">
        <v>45681</v>
      </c>
      <c r="J202" s="2" t="s">
        <v>598</v>
      </c>
      <c r="K202" s="15">
        <f>PRODUCT(Table25[[#This Row],[Ticket Price]],Table25[[#This Row],[Passenger Count]])</f>
        <v>9600000</v>
      </c>
      <c r="L202" s="15">
        <f>Table25[[#This Row],[Revenue]]*(1-$O$2)</f>
        <v>8640000</v>
      </c>
    </row>
    <row r="203" spans="1:12" x14ac:dyDescent="0.35">
      <c r="A203" t="s">
        <v>198</v>
      </c>
      <c r="B203" t="s">
        <v>499</v>
      </c>
      <c r="C203" t="s">
        <v>586</v>
      </c>
      <c r="D203" s="2" t="s">
        <v>590</v>
      </c>
      <c r="E203" s="1" t="s">
        <v>593</v>
      </c>
      <c r="F203" s="3">
        <v>145</v>
      </c>
      <c r="G203" s="4">
        <v>25000</v>
      </c>
      <c r="H203" s="5">
        <v>152</v>
      </c>
      <c r="I203" s="6">
        <v>45736</v>
      </c>
      <c r="J203" s="2" t="s">
        <v>598</v>
      </c>
      <c r="K203" s="15">
        <f>PRODUCT(Table25[[#This Row],[Ticket Price]],Table25[[#This Row],[Passenger Count]])</f>
        <v>3800000</v>
      </c>
      <c r="L203" s="15">
        <f>Table25[[#This Row],[Revenue]]*(1-$O$2)</f>
        <v>3420000</v>
      </c>
    </row>
    <row r="204" spans="1:12" x14ac:dyDescent="0.35">
      <c r="A204" t="s">
        <v>199</v>
      </c>
      <c r="B204" t="s">
        <v>500</v>
      </c>
      <c r="C204" t="s">
        <v>585</v>
      </c>
      <c r="D204" s="2" t="s">
        <v>590</v>
      </c>
      <c r="E204" s="1" t="s">
        <v>594</v>
      </c>
      <c r="F204" s="3">
        <v>140</v>
      </c>
      <c r="G204" s="4">
        <v>120000</v>
      </c>
      <c r="H204" s="5">
        <v>82</v>
      </c>
      <c r="I204" s="6">
        <v>45822</v>
      </c>
      <c r="J204" s="2" t="s">
        <v>598</v>
      </c>
      <c r="K204" s="15">
        <f>PRODUCT(Table25[[#This Row],[Ticket Price]],Table25[[#This Row],[Passenger Count]])</f>
        <v>9840000</v>
      </c>
      <c r="L204" s="15">
        <f>Table25[[#This Row],[Revenue]]*(1-$O$2)</f>
        <v>8856000</v>
      </c>
    </row>
    <row r="205" spans="1:12" x14ac:dyDescent="0.35">
      <c r="A205" t="s">
        <v>200</v>
      </c>
      <c r="B205" t="s">
        <v>501</v>
      </c>
      <c r="C205" t="s">
        <v>586</v>
      </c>
      <c r="D205" s="2" t="s">
        <v>590</v>
      </c>
      <c r="E205" s="1" t="s">
        <v>595</v>
      </c>
      <c r="F205" s="3">
        <v>94</v>
      </c>
      <c r="G205" s="4">
        <v>85000</v>
      </c>
      <c r="H205" s="5">
        <v>116</v>
      </c>
      <c r="I205" s="6">
        <v>45801</v>
      </c>
      <c r="J205" s="2" t="s">
        <v>598</v>
      </c>
      <c r="K205" s="15">
        <f>PRODUCT(Table25[[#This Row],[Ticket Price]],Table25[[#This Row],[Passenger Count]])</f>
        <v>9860000</v>
      </c>
      <c r="L205" s="15">
        <f>Table25[[#This Row],[Revenue]]*(1-$O$2)</f>
        <v>8874000</v>
      </c>
    </row>
    <row r="206" spans="1:12" x14ac:dyDescent="0.35">
      <c r="A206" t="s">
        <v>201</v>
      </c>
      <c r="B206" t="s">
        <v>502</v>
      </c>
      <c r="C206" t="s">
        <v>587</v>
      </c>
      <c r="D206" s="2" t="s">
        <v>591</v>
      </c>
      <c r="E206" s="1" t="s">
        <v>594</v>
      </c>
      <c r="F206" s="3">
        <v>111</v>
      </c>
      <c r="G206" s="4">
        <v>105000</v>
      </c>
      <c r="H206" s="5">
        <v>175</v>
      </c>
      <c r="I206" s="6">
        <v>45824</v>
      </c>
      <c r="J206" s="2" t="s">
        <v>598</v>
      </c>
      <c r="K206" s="15">
        <f>PRODUCT(Table25[[#This Row],[Ticket Price]],Table25[[#This Row],[Passenger Count]])</f>
        <v>18375000</v>
      </c>
      <c r="L206" s="15">
        <f>Table25[[#This Row],[Revenue]]*(1-$O$2)</f>
        <v>16537500</v>
      </c>
    </row>
    <row r="207" spans="1:12" x14ac:dyDescent="0.35">
      <c r="A207" t="s">
        <v>202</v>
      </c>
      <c r="B207" t="s">
        <v>385</v>
      </c>
      <c r="C207" t="s">
        <v>588</v>
      </c>
      <c r="D207" s="2" t="s">
        <v>590</v>
      </c>
      <c r="E207" s="1" t="s">
        <v>596</v>
      </c>
      <c r="F207" s="3">
        <v>29</v>
      </c>
      <c r="G207" s="4">
        <v>30000</v>
      </c>
      <c r="H207" s="5">
        <v>126</v>
      </c>
      <c r="I207" s="6">
        <v>45826</v>
      </c>
      <c r="J207" s="2" t="s">
        <v>597</v>
      </c>
      <c r="K207" s="15">
        <f>PRODUCT(Table25[[#This Row],[Ticket Price]],Table25[[#This Row],[Passenger Count]])</f>
        <v>3780000</v>
      </c>
      <c r="L207" s="15">
        <f>Table25[[#This Row],[Revenue]]*(1-$O$2)</f>
        <v>3402000</v>
      </c>
    </row>
    <row r="208" spans="1:12" x14ac:dyDescent="0.35">
      <c r="A208" t="s">
        <v>203</v>
      </c>
      <c r="B208" t="s">
        <v>457</v>
      </c>
      <c r="C208" t="s">
        <v>582</v>
      </c>
      <c r="D208" s="2" t="s">
        <v>590</v>
      </c>
      <c r="E208" s="1" t="s">
        <v>593</v>
      </c>
      <c r="F208" s="3">
        <v>74</v>
      </c>
      <c r="G208" s="4">
        <v>85000</v>
      </c>
      <c r="H208" s="5">
        <v>78</v>
      </c>
      <c r="I208" s="6">
        <v>45688</v>
      </c>
      <c r="J208" s="2" t="s">
        <v>597</v>
      </c>
      <c r="K208" s="15">
        <f>PRODUCT(Table25[[#This Row],[Ticket Price]],Table25[[#This Row],[Passenger Count]])</f>
        <v>6630000</v>
      </c>
      <c r="L208" s="15">
        <f>Table25[[#This Row],[Revenue]]*(1-$O$2)</f>
        <v>5967000</v>
      </c>
    </row>
    <row r="209" spans="1:12" x14ac:dyDescent="0.35">
      <c r="A209" t="s">
        <v>204</v>
      </c>
      <c r="B209" t="s">
        <v>503</v>
      </c>
      <c r="C209" t="s">
        <v>582</v>
      </c>
      <c r="D209" s="2" t="s">
        <v>589</v>
      </c>
      <c r="E209" s="1" t="s">
        <v>594</v>
      </c>
      <c r="F209" s="3">
        <v>159</v>
      </c>
      <c r="G209" s="4">
        <v>145000</v>
      </c>
      <c r="H209" s="5">
        <v>125</v>
      </c>
      <c r="I209" s="6">
        <v>45675</v>
      </c>
      <c r="J209" s="2" t="s">
        <v>598</v>
      </c>
      <c r="K209" s="15">
        <f>PRODUCT(Table25[[#This Row],[Ticket Price]],Table25[[#This Row],[Passenger Count]])</f>
        <v>18125000</v>
      </c>
      <c r="L209" s="15">
        <f>Table25[[#This Row],[Revenue]]*(1-$O$2)</f>
        <v>16312500</v>
      </c>
    </row>
    <row r="210" spans="1:12" x14ac:dyDescent="0.35">
      <c r="A210" t="s">
        <v>205</v>
      </c>
      <c r="B210" t="s">
        <v>347</v>
      </c>
      <c r="C210" t="s">
        <v>587</v>
      </c>
      <c r="D210" s="2" t="s">
        <v>590</v>
      </c>
      <c r="E210" s="1" t="s">
        <v>594</v>
      </c>
      <c r="F210" s="3">
        <v>178</v>
      </c>
      <c r="G210" s="4">
        <v>50000</v>
      </c>
      <c r="H210" s="5">
        <v>154</v>
      </c>
      <c r="I210" s="6">
        <v>45742</v>
      </c>
      <c r="J210" s="2" t="s">
        <v>598</v>
      </c>
      <c r="K210" s="15">
        <f>PRODUCT(Table25[[#This Row],[Ticket Price]],Table25[[#This Row],[Passenger Count]])</f>
        <v>7700000</v>
      </c>
      <c r="L210" s="15">
        <f>Table25[[#This Row],[Revenue]]*(1-$O$2)</f>
        <v>6930000</v>
      </c>
    </row>
    <row r="211" spans="1:12" x14ac:dyDescent="0.35">
      <c r="A211" t="s">
        <v>206</v>
      </c>
      <c r="B211" t="s">
        <v>504</v>
      </c>
      <c r="C211" t="s">
        <v>588</v>
      </c>
      <c r="D211" s="2" t="s">
        <v>582</v>
      </c>
      <c r="E211" s="1" t="s">
        <v>593</v>
      </c>
      <c r="F211" s="3">
        <v>108</v>
      </c>
      <c r="G211" s="4">
        <v>125000</v>
      </c>
      <c r="H211" s="5">
        <v>170</v>
      </c>
      <c r="I211" s="6">
        <v>45773</v>
      </c>
      <c r="J211" s="2" t="s">
        <v>598</v>
      </c>
      <c r="K211" s="15">
        <f>PRODUCT(Table25[[#This Row],[Ticket Price]],Table25[[#This Row],[Passenger Count]])</f>
        <v>21250000</v>
      </c>
      <c r="L211" s="15">
        <f>Table25[[#This Row],[Revenue]]*(1-$O$2)</f>
        <v>19125000</v>
      </c>
    </row>
    <row r="212" spans="1:12" x14ac:dyDescent="0.35">
      <c r="A212" t="s">
        <v>207</v>
      </c>
      <c r="B212" t="s">
        <v>447</v>
      </c>
      <c r="C212" t="s">
        <v>584</v>
      </c>
      <c r="D212" s="2" t="s">
        <v>587</v>
      </c>
      <c r="E212" s="1" t="s">
        <v>594</v>
      </c>
      <c r="F212" s="3">
        <v>42</v>
      </c>
      <c r="G212" s="4">
        <v>115000</v>
      </c>
      <c r="H212" s="5">
        <v>125</v>
      </c>
      <c r="I212" s="6">
        <v>45834</v>
      </c>
      <c r="J212" s="2" t="s">
        <v>598</v>
      </c>
      <c r="K212" s="15">
        <f>PRODUCT(Table25[[#This Row],[Ticket Price]],Table25[[#This Row],[Passenger Count]])</f>
        <v>14375000</v>
      </c>
      <c r="L212" s="15">
        <f>Table25[[#This Row],[Revenue]]*(1-$O$2)</f>
        <v>12937500</v>
      </c>
    </row>
    <row r="213" spans="1:12" x14ac:dyDescent="0.35">
      <c r="A213" t="s">
        <v>208</v>
      </c>
      <c r="B213" t="s">
        <v>505</v>
      </c>
      <c r="C213" t="s">
        <v>581</v>
      </c>
      <c r="D213" s="2" t="s">
        <v>585</v>
      </c>
      <c r="E213" s="1" t="s">
        <v>595</v>
      </c>
      <c r="F213" s="3">
        <v>26</v>
      </c>
      <c r="G213" s="4">
        <v>50000</v>
      </c>
      <c r="H213" s="5">
        <v>73</v>
      </c>
      <c r="I213" s="6">
        <v>45673</v>
      </c>
      <c r="J213" s="2" t="s">
        <v>597</v>
      </c>
      <c r="K213" s="15">
        <f>PRODUCT(Table25[[#This Row],[Ticket Price]],Table25[[#This Row],[Passenger Count]])</f>
        <v>3650000</v>
      </c>
      <c r="L213" s="15">
        <f>Table25[[#This Row],[Revenue]]*(1-$O$2)</f>
        <v>3285000</v>
      </c>
    </row>
    <row r="214" spans="1:12" x14ac:dyDescent="0.35">
      <c r="A214" t="s">
        <v>209</v>
      </c>
      <c r="B214" t="s">
        <v>506</v>
      </c>
      <c r="C214" t="s">
        <v>581</v>
      </c>
      <c r="D214" s="2" t="s">
        <v>591</v>
      </c>
      <c r="E214" s="1" t="s">
        <v>593</v>
      </c>
      <c r="F214" s="3">
        <v>82</v>
      </c>
      <c r="G214" s="4">
        <v>55000</v>
      </c>
      <c r="H214" s="5">
        <v>171</v>
      </c>
      <c r="I214" s="6">
        <v>45820</v>
      </c>
      <c r="J214" s="2" t="s">
        <v>597</v>
      </c>
      <c r="K214" s="15">
        <f>PRODUCT(Table25[[#This Row],[Ticket Price]],Table25[[#This Row],[Passenger Count]])</f>
        <v>9405000</v>
      </c>
      <c r="L214" s="15">
        <f>Table25[[#This Row],[Revenue]]*(1-$O$2)</f>
        <v>8464500</v>
      </c>
    </row>
    <row r="215" spans="1:12" x14ac:dyDescent="0.35">
      <c r="A215" t="s">
        <v>210</v>
      </c>
      <c r="B215" t="s">
        <v>507</v>
      </c>
      <c r="C215" t="s">
        <v>583</v>
      </c>
      <c r="D215" s="2" t="s">
        <v>584</v>
      </c>
      <c r="E215" s="1" t="s">
        <v>593</v>
      </c>
      <c r="F215" s="3">
        <v>149</v>
      </c>
      <c r="G215" s="4">
        <v>140000</v>
      </c>
      <c r="H215" s="5">
        <v>148</v>
      </c>
      <c r="I215" s="6">
        <v>45801</v>
      </c>
      <c r="J215" s="2" t="s">
        <v>598</v>
      </c>
      <c r="K215" s="15">
        <f>PRODUCT(Table25[[#This Row],[Ticket Price]],Table25[[#This Row],[Passenger Count]])</f>
        <v>20720000</v>
      </c>
      <c r="L215" s="15">
        <f>Table25[[#This Row],[Revenue]]*(1-$O$2)</f>
        <v>18648000</v>
      </c>
    </row>
    <row r="216" spans="1:12" x14ac:dyDescent="0.35">
      <c r="A216" t="s">
        <v>211</v>
      </c>
      <c r="B216" t="s">
        <v>508</v>
      </c>
      <c r="C216" t="s">
        <v>586</v>
      </c>
      <c r="D216" s="2" t="s">
        <v>582</v>
      </c>
      <c r="E216" s="1" t="s">
        <v>596</v>
      </c>
      <c r="F216" s="3">
        <v>8</v>
      </c>
      <c r="G216" s="4">
        <v>65000</v>
      </c>
      <c r="H216" s="5">
        <v>90</v>
      </c>
      <c r="I216" s="6">
        <v>45736</v>
      </c>
      <c r="J216" s="2" t="s">
        <v>597</v>
      </c>
      <c r="K216" s="15">
        <f>PRODUCT(Table25[[#This Row],[Ticket Price]],Table25[[#This Row],[Passenger Count]])</f>
        <v>5850000</v>
      </c>
      <c r="L216" s="15">
        <f>Table25[[#This Row],[Revenue]]*(1-$O$2)</f>
        <v>5265000</v>
      </c>
    </row>
    <row r="217" spans="1:12" x14ac:dyDescent="0.35">
      <c r="A217" t="s">
        <v>212</v>
      </c>
      <c r="B217" t="s">
        <v>509</v>
      </c>
      <c r="C217" t="s">
        <v>587</v>
      </c>
      <c r="D217" s="2" t="s">
        <v>590</v>
      </c>
      <c r="E217" s="1" t="s">
        <v>593</v>
      </c>
      <c r="F217" s="3">
        <v>19</v>
      </c>
      <c r="G217" s="4">
        <v>105000</v>
      </c>
      <c r="H217" s="5">
        <v>118</v>
      </c>
      <c r="I217" s="6">
        <v>45731</v>
      </c>
      <c r="J217" s="2" t="s">
        <v>597</v>
      </c>
      <c r="K217" s="15">
        <f>PRODUCT(Table25[[#This Row],[Ticket Price]],Table25[[#This Row],[Passenger Count]])</f>
        <v>12390000</v>
      </c>
      <c r="L217" s="15">
        <f>Table25[[#This Row],[Revenue]]*(1-$O$2)</f>
        <v>11151000</v>
      </c>
    </row>
    <row r="218" spans="1:12" x14ac:dyDescent="0.35">
      <c r="A218" t="s">
        <v>213</v>
      </c>
      <c r="B218" t="s">
        <v>510</v>
      </c>
      <c r="C218" t="s">
        <v>583</v>
      </c>
      <c r="D218" s="2" t="s">
        <v>587</v>
      </c>
      <c r="E218" s="1" t="s">
        <v>596</v>
      </c>
      <c r="F218" s="3">
        <v>57</v>
      </c>
      <c r="G218" s="4">
        <v>35000</v>
      </c>
      <c r="H218" s="5">
        <v>134</v>
      </c>
      <c r="I218" s="6">
        <v>45767</v>
      </c>
      <c r="J218" s="2" t="s">
        <v>597</v>
      </c>
      <c r="K218" s="15">
        <f>PRODUCT(Table25[[#This Row],[Ticket Price]],Table25[[#This Row],[Passenger Count]])</f>
        <v>4690000</v>
      </c>
      <c r="L218" s="15">
        <f>Table25[[#This Row],[Revenue]]*(1-$O$2)</f>
        <v>4221000</v>
      </c>
    </row>
    <row r="219" spans="1:12" x14ac:dyDescent="0.35">
      <c r="A219" t="s">
        <v>214</v>
      </c>
      <c r="B219" t="s">
        <v>352</v>
      </c>
      <c r="C219" t="s">
        <v>582</v>
      </c>
      <c r="D219" s="2" t="s">
        <v>585</v>
      </c>
      <c r="E219" s="1" t="s">
        <v>596</v>
      </c>
      <c r="F219" s="3">
        <v>12</v>
      </c>
      <c r="G219" s="4">
        <v>120000</v>
      </c>
      <c r="H219" s="5">
        <v>80</v>
      </c>
      <c r="I219" s="6">
        <v>45743</v>
      </c>
      <c r="J219" s="2" t="s">
        <v>597</v>
      </c>
      <c r="K219" s="15">
        <f>PRODUCT(Table25[[#This Row],[Ticket Price]],Table25[[#This Row],[Passenger Count]])</f>
        <v>9600000</v>
      </c>
      <c r="L219" s="15">
        <f>Table25[[#This Row],[Revenue]]*(1-$O$2)</f>
        <v>8640000</v>
      </c>
    </row>
    <row r="220" spans="1:12" x14ac:dyDescent="0.35">
      <c r="A220" t="s">
        <v>215</v>
      </c>
      <c r="B220" t="s">
        <v>511</v>
      </c>
      <c r="C220" t="s">
        <v>588</v>
      </c>
      <c r="D220" s="2" t="s">
        <v>589</v>
      </c>
      <c r="E220" s="1" t="s">
        <v>594</v>
      </c>
      <c r="F220" s="3">
        <v>86</v>
      </c>
      <c r="G220" s="4">
        <v>95000</v>
      </c>
      <c r="H220" s="5">
        <v>170</v>
      </c>
      <c r="I220" s="6">
        <v>45747</v>
      </c>
      <c r="J220" s="2" t="s">
        <v>597</v>
      </c>
      <c r="K220" s="15">
        <f>PRODUCT(Table25[[#This Row],[Ticket Price]],Table25[[#This Row],[Passenger Count]])</f>
        <v>16150000</v>
      </c>
      <c r="L220" s="15">
        <f>Table25[[#This Row],[Revenue]]*(1-$O$2)</f>
        <v>14535000</v>
      </c>
    </row>
    <row r="221" spans="1:12" x14ac:dyDescent="0.35">
      <c r="A221" t="s">
        <v>216</v>
      </c>
      <c r="B221" t="s">
        <v>512</v>
      </c>
      <c r="C221" t="s">
        <v>582</v>
      </c>
      <c r="D221" s="2" t="s">
        <v>585</v>
      </c>
      <c r="E221" s="1" t="s">
        <v>596</v>
      </c>
      <c r="F221" s="3">
        <v>126</v>
      </c>
      <c r="G221" s="4">
        <v>105000</v>
      </c>
      <c r="H221" s="5">
        <v>140</v>
      </c>
      <c r="I221" s="6">
        <v>45798</v>
      </c>
      <c r="J221" s="2" t="s">
        <v>597</v>
      </c>
      <c r="K221" s="15">
        <f>PRODUCT(Table25[[#This Row],[Ticket Price]],Table25[[#This Row],[Passenger Count]])</f>
        <v>14700000</v>
      </c>
      <c r="L221" s="15">
        <f>Table25[[#This Row],[Revenue]]*(1-$O$2)</f>
        <v>13230000</v>
      </c>
    </row>
    <row r="222" spans="1:12" x14ac:dyDescent="0.35">
      <c r="A222" t="s">
        <v>217</v>
      </c>
      <c r="B222" t="s">
        <v>513</v>
      </c>
      <c r="C222" t="s">
        <v>587</v>
      </c>
      <c r="D222" s="2" t="s">
        <v>591</v>
      </c>
      <c r="E222" s="1" t="s">
        <v>592</v>
      </c>
      <c r="F222" s="3">
        <v>180</v>
      </c>
      <c r="G222" s="4">
        <v>110000</v>
      </c>
      <c r="H222" s="5">
        <v>153</v>
      </c>
      <c r="I222" s="6">
        <v>45740</v>
      </c>
      <c r="J222" s="2" t="s">
        <v>597</v>
      </c>
      <c r="K222" s="15">
        <f>PRODUCT(Table25[[#This Row],[Ticket Price]],Table25[[#This Row],[Passenger Count]])</f>
        <v>16830000</v>
      </c>
      <c r="L222" s="15">
        <f>Table25[[#This Row],[Revenue]]*(1-$O$2)</f>
        <v>15147000</v>
      </c>
    </row>
    <row r="223" spans="1:12" x14ac:dyDescent="0.35">
      <c r="A223" t="s">
        <v>218</v>
      </c>
      <c r="B223" t="s">
        <v>510</v>
      </c>
      <c r="C223" t="s">
        <v>582</v>
      </c>
      <c r="D223" s="2" t="s">
        <v>587</v>
      </c>
      <c r="E223" s="1" t="s">
        <v>593</v>
      </c>
      <c r="F223" s="3">
        <v>117</v>
      </c>
      <c r="G223" s="4">
        <v>90000</v>
      </c>
      <c r="H223" s="5">
        <v>71</v>
      </c>
      <c r="I223" s="6">
        <v>45781</v>
      </c>
      <c r="J223" s="2" t="s">
        <v>597</v>
      </c>
      <c r="K223" s="15">
        <f>PRODUCT(Table25[[#This Row],[Ticket Price]],Table25[[#This Row],[Passenger Count]])</f>
        <v>6390000</v>
      </c>
      <c r="L223" s="15">
        <f>Table25[[#This Row],[Revenue]]*(1-$O$2)</f>
        <v>5751000</v>
      </c>
    </row>
    <row r="224" spans="1:12" x14ac:dyDescent="0.35">
      <c r="A224" t="s">
        <v>219</v>
      </c>
      <c r="B224" t="s">
        <v>514</v>
      </c>
      <c r="C224" t="s">
        <v>588</v>
      </c>
      <c r="D224" s="2" t="s">
        <v>583</v>
      </c>
      <c r="E224" s="1" t="s">
        <v>594</v>
      </c>
      <c r="F224" s="3">
        <v>172</v>
      </c>
      <c r="G224" s="4">
        <v>50000</v>
      </c>
      <c r="H224" s="5">
        <v>149</v>
      </c>
      <c r="I224" s="6">
        <v>45827</v>
      </c>
      <c r="J224" s="2" t="s">
        <v>598</v>
      </c>
      <c r="K224" s="15">
        <f>PRODUCT(Table25[[#This Row],[Ticket Price]],Table25[[#This Row],[Passenger Count]])</f>
        <v>7450000</v>
      </c>
      <c r="L224" s="15">
        <f>Table25[[#This Row],[Revenue]]*(1-$O$2)</f>
        <v>6705000</v>
      </c>
    </row>
    <row r="225" spans="1:12" x14ac:dyDescent="0.35">
      <c r="A225" t="s">
        <v>220</v>
      </c>
      <c r="B225" t="s">
        <v>399</v>
      </c>
      <c r="C225" t="s">
        <v>588</v>
      </c>
      <c r="D225" s="2" t="s">
        <v>589</v>
      </c>
      <c r="E225" s="1" t="s">
        <v>596</v>
      </c>
      <c r="F225" s="3">
        <v>-3</v>
      </c>
      <c r="G225" s="4">
        <v>125000</v>
      </c>
      <c r="H225" s="5">
        <v>94</v>
      </c>
      <c r="I225" s="6">
        <v>45803</v>
      </c>
      <c r="J225" s="2" t="s">
        <v>597</v>
      </c>
      <c r="K225" s="15">
        <f>PRODUCT(Table25[[#This Row],[Ticket Price]],Table25[[#This Row],[Passenger Count]])</f>
        <v>11750000</v>
      </c>
      <c r="L225" s="15">
        <f>Table25[[#This Row],[Revenue]]*(1-$O$2)</f>
        <v>10575000</v>
      </c>
    </row>
    <row r="226" spans="1:12" x14ac:dyDescent="0.35">
      <c r="A226" t="s">
        <v>221</v>
      </c>
      <c r="B226" t="s">
        <v>515</v>
      </c>
      <c r="C226" t="s">
        <v>581</v>
      </c>
      <c r="D226" s="2" t="s">
        <v>590</v>
      </c>
      <c r="E226" s="1" t="s">
        <v>595</v>
      </c>
      <c r="F226" s="3">
        <v>50</v>
      </c>
      <c r="G226" s="4">
        <v>105000</v>
      </c>
      <c r="H226" s="5">
        <v>87</v>
      </c>
      <c r="I226" s="6">
        <v>45678</v>
      </c>
      <c r="J226" s="2" t="s">
        <v>598</v>
      </c>
      <c r="K226" s="15">
        <f>PRODUCT(Table25[[#This Row],[Ticket Price]],Table25[[#This Row],[Passenger Count]])</f>
        <v>9135000</v>
      </c>
      <c r="L226" s="15">
        <f>Table25[[#This Row],[Revenue]]*(1-$O$2)</f>
        <v>8221500</v>
      </c>
    </row>
    <row r="227" spans="1:12" x14ac:dyDescent="0.35">
      <c r="A227" t="s">
        <v>222</v>
      </c>
      <c r="B227" t="s">
        <v>516</v>
      </c>
      <c r="C227" t="s">
        <v>586</v>
      </c>
      <c r="D227" s="2" t="s">
        <v>591</v>
      </c>
      <c r="E227" s="1" t="s">
        <v>592</v>
      </c>
      <c r="F227" s="3">
        <v>-2</v>
      </c>
      <c r="G227" s="4">
        <v>90000</v>
      </c>
      <c r="H227" s="5">
        <v>130</v>
      </c>
      <c r="I227" s="6">
        <v>45688</v>
      </c>
      <c r="J227" s="2" t="s">
        <v>598</v>
      </c>
      <c r="K227" s="15">
        <f>PRODUCT(Table25[[#This Row],[Ticket Price]],Table25[[#This Row],[Passenger Count]])</f>
        <v>11700000</v>
      </c>
      <c r="L227" s="15">
        <f>Table25[[#This Row],[Revenue]]*(1-$O$2)</f>
        <v>10530000</v>
      </c>
    </row>
    <row r="228" spans="1:12" x14ac:dyDescent="0.35">
      <c r="A228" t="s">
        <v>223</v>
      </c>
      <c r="B228" t="s">
        <v>432</v>
      </c>
      <c r="C228" t="s">
        <v>583</v>
      </c>
      <c r="D228" s="2" t="s">
        <v>590</v>
      </c>
      <c r="E228" s="1" t="s">
        <v>595</v>
      </c>
      <c r="F228" s="3">
        <v>147</v>
      </c>
      <c r="G228" s="4">
        <v>85000</v>
      </c>
      <c r="H228" s="5">
        <v>110</v>
      </c>
      <c r="I228" s="6">
        <v>45673</v>
      </c>
      <c r="J228" s="2" t="s">
        <v>598</v>
      </c>
      <c r="K228" s="15">
        <f>PRODUCT(Table25[[#This Row],[Ticket Price]],Table25[[#This Row],[Passenger Count]])</f>
        <v>9350000</v>
      </c>
      <c r="L228" s="15">
        <f>Table25[[#This Row],[Revenue]]*(1-$O$2)</f>
        <v>8415000</v>
      </c>
    </row>
    <row r="229" spans="1:12" x14ac:dyDescent="0.35">
      <c r="A229" t="s">
        <v>224</v>
      </c>
      <c r="B229" t="s">
        <v>425</v>
      </c>
      <c r="C229" t="s">
        <v>581</v>
      </c>
      <c r="D229" s="2" t="s">
        <v>583</v>
      </c>
      <c r="E229" s="1" t="s">
        <v>594</v>
      </c>
      <c r="F229" s="3">
        <v>76</v>
      </c>
      <c r="G229" s="4">
        <v>60000</v>
      </c>
      <c r="H229" s="5">
        <v>156</v>
      </c>
      <c r="I229" s="6">
        <v>45750</v>
      </c>
      <c r="J229" s="2" t="s">
        <v>597</v>
      </c>
      <c r="K229" s="15">
        <f>PRODUCT(Table25[[#This Row],[Ticket Price]],Table25[[#This Row],[Passenger Count]])</f>
        <v>9360000</v>
      </c>
      <c r="L229" s="15">
        <f>Table25[[#This Row],[Revenue]]*(1-$O$2)</f>
        <v>8424000</v>
      </c>
    </row>
    <row r="230" spans="1:12" x14ac:dyDescent="0.35">
      <c r="A230" t="s">
        <v>225</v>
      </c>
      <c r="B230" t="s">
        <v>439</v>
      </c>
      <c r="C230" t="s">
        <v>585</v>
      </c>
      <c r="D230" s="2" t="s">
        <v>589</v>
      </c>
      <c r="E230" s="1" t="s">
        <v>596</v>
      </c>
      <c r="F230" s="3">
        <v>118</v>
      </c>
      <c r="G230" s="4">
        <v>60000</v>
      </c>
      <c r="H230" s="5">
        <v>63</v>
      </c>
      <c r="I230" s="6">
        <v>45804</v>
      </c>
      <c r="J230" s="2" t="s">
        <v>598</v>
      </c>
      <c r="K230" s="15">
        <f>PRODUCT(Table25[[#This Row],[Ticket Price]],Table25[[#This Row],[Passenger Count]])</f>
        <v>3780000</v>
      </c>
      <c r="L230" s="15">
        <f>Table25[[#This Row],[Revenue]]*(1-$O$2)</f>
        <v>3402000</v>
      </c>
    </row>
    <row r="231" spans="1:12" x14ac:dyDescent="0.35">
      <c r="A231" t="s">
        <v>226</v>
      </c>
      <c r="B231" t="s">
        <v>517</v>
      </c>
      <c r="C231" t="s">
        <v>587</v>
      </c>
      <c r="D231" s="2" t="s">
        <v>591</v>
      </c>
      <c r="E231" s="1" t="s">
        <v>594</v>
      </c>
      <c r="F231" s="3">
        <v>132</v>
      </c>
      <c r="G231" s="4">
        <v>105000</v>
      </c>
      <c r="H231" s="5">
        <v>148</v>
      </c>
      <c r="I231" s="6">
        <v>45704</v>
      </c>
      <c r="J231" s="2" t="s">
        <v>598</v>
      </c>
      <c r="K231" s="15">
        <f>PRODUCT(Table25[[#This Row],[Ticket Price]],Table25[[#This Row],[Passenger Count]])</f>
        <v>15540000</v>
      </c>
      <c r="L231" s="15">
        <f>Table25[[#This Row],[Revenue]]*(1-$O$2)</f>
        <v>13986000</v>
      </c>
    </row>
    <row r="232" spans="1:12" x14ac:dyDescent="0.35">
      <c r="A232" t="s">
        <v>227</v>
      </c>
      <c r="B232" t="s">
        <v>436</v>
      </c>
      <c r="C232" t="s">
        <v>583</v>
      </c>
      <c r="D232" s="2" t="s">
        <v>587</v>
      </c>
      <c r="E232" s="1" t="s">
        <v>592</v>
      </c>
      <c r="F232" s="3">
        <v>86</v>
      </c>
      <c r="G232" s="4">
        <v>110000</v>
      </c>
      <c r="H232" s="5">
        <v>168</v>
      </c>
      <c r="I232" s="6">
        <v>45782</v>
      </c>
      <c r="J232" s="2" t="s">
        <v>597</v>
      </c>
      <c r="K232" s="15">
        <f>PRODUCT(Table25[[#This Row],[Ticket Price]],Table25[[#This Row],[Passenger Count]])</f>
        <v>18480000</v>
      </c>
      <c r="L232" s="15">
        <f>Table25[[#This Row],[Revenue]]*(1-$O$2)</f>
        <v>16632000</v>
      </c>
    </row>
    <row r="233" spans="1:12" x14ac:dyDescent="0.35">
      <c r="A233" t="s">
        <v>228</v>
      </c>
      <c r="B233" t="s">
        <v>518</v>
      </c>
      <c r="C233" t="s">
        <v>581</v>
      </c>
      <c r="D233" s="2" t="s">
        <v>591</v>
      </c>
      <c r="E233" s="1" t="s">
        <v>596</v>
      </c>
      <c r="F233" s="3">
        <v>107</v>
      </c>
      <c r="G233" s="4">
        <v>150000</v>
      </c>
      <c r="H233" s="5">
        <v>73</v>
      </c>
      <c r="I233" s="6">
        <v>45821</v>
      </c>
      <c r="J233" s="2" t="s">
        <v>597</v>
      </c>
      <c r="K233" s="15">
        <f>PRODUCT(Table25[[#This Row],[Ticket Price]],Table25[[#This Row],[Passenger Count]])</f>
        <v>10950000</v>
      </c>
      <c r="L233" s="15">
        <f>Table25[[#This Row],[Revenue]]*(1-$O$2)</f>
        <v>9855000</v>
      </c>
    </row>
    <row r="234" spans="1:12" x14ac:dyDescent="0.35">
      <c r="A234" t="s">
        <v>229</v>
      </c>
      <c r="B234" t="s">
        <v>444</v>
      </c>
      <c r="C234" t="s">
        <v>585</v>
      </c>
      <c r="D234" s="2" t="s">
        <v>590</v>
      </c>
      <c r="E234" s="1" t="s">
        <v>593</v>
      </c>
      <c r="F234" s="3">
        <v>153</v>
      </c>
      <c r="G234" s="4">
        <v>110000</v>
      </c>
      <c r="H234" s="5">
        <v>169</v>
      </c>
      <c r="I234" s="6">
        <v>45727</v>
      </c>
      <c r="J234" s="2" t="s">
        <v>598</v>
      </c>
      <c r="K234" s="15">
        <f>PRODUCT(Table25[[#This Row],[Ticket Price]],Table25[[#This Row],[Passenger Count]])</f>
        <v>18590000</v>
      </c>
      <c r="L234" s="15">
        <f>Table25[[#This Row],[Revenue]]*(1-$O$2)</f>
        <v>16731000</v>
      </c>
    </row>
    <row r="235" spans="1:12" x14ac:dyDescent="0.35">
      <c r="A235" t="s">
        <v>230</v>
      </c>
      <c r="B235" t="s">
        <v>386</v>
      </c>
      <c r="C235" t="s">
        <v>584</v>
      </c>
      <c r="D235" s="2" t="s">
        <v>590</v>
      </c>
      <c r="E235" s="1" t="s">
        <v>593</v>
      </c>
      <c r="F235" s="3">
        <v>33</v>
      </c>
      <c r="G235" s="4">
        <v>50000</v>
      </c>
      <c r="H235" s="5">
        <v>118</v>
      </c>
      <c r="I235" s="6">
        <v>45828</v>
      </c>
      <c r="J235" s="2" t="s">
        <v>597</v>
      </c>
      <c r="K235" s="15">
        <f>PRODUCT(Table25[[#This Row],[Ticket Price]],Table25[[#This Row],[Passenger Count]])</f>
        <v>5900000</v>
      </c>
      <c r="L235" s="15">
        <f>Table25[[#This Row],[Revenue]]*(1-$O$2)</f>
        <v>5310000</v>
      </c>
    </row>
    <row r="236" spans="1:12" x14ac:dyDescent="0.35">
      <c r="A236" t="s">
        <v>231</v>
      </c>
      <c r="B236" t="s">
        <v>519</v>
      </c>
      <c r="C236" t="s">
        <v>583</v>
      </c>
      <c r="D236" s="2" t="s">
        <v>590</v>
      </c>
      <c r="E236" s="1" t="s">
        <v>595</v>
      </c>
      <c r="F236" s="3">
        <v>180</v>
      </c>
      <c r="G236" s="4">
        <v>130000</v>
      </c>
      <c r="H236" s="5">
        <v>109</v>
      </c>
      <c r="I236" s="6">
        <v>45802</v>
      </c>
      <c r="J236" s="2" t="s">
        <v>597</v>
      </c>
      <c r="K236" s="15">
        <f>PRODUCT(Table25[[#This Row],[Ticket Price]],Table25[[#This Row],[Passenger Count]])</f>
        <v>14170000</v>
      </c>
      <c r="L236" s="15">
        <f>Table25[[#This Row],[Revenue]]*(1-$O$2)</f>
        <v>12753000</v>
      </c>
    </row>
    <row r="237" spans="1:12" x14ac:dyDescent="0.35">
      <c r="A237" t="s">
        <v>232</v>
      </c>
      <c r="B237" t="s">
        <v>520</v>
      </c>
      <c r="C237" t="s">
        <v>581</v>
      </c>
      <c r="D237" s="2" t="s">
        <v>583</v>
      </c>
      <c r="E237" s="1" t="s">
        <v>596</v>
      </c>
      <c r="F237" s="3">
        <v>25</v>
      </c>
      <c r="G237" s="4">
        <v>105000</v>
      </c>
      <c r="H237" s="5">
        <v>114</v>
      </c>
      <c r="I237" s="6">
        <v>45787</v>
      </c>
      <c r="J237" s="2" t="s">
        <v>598</v>
      </c>
      <c r="K237" s="15">
        <f>PRODUCT(Table25[[#This Row],[Ticket Price]],Table25[[#This Row],[Passenger Count]])</f>
        <v>11970000</v>
      </c>
      <c r="L237" s="15">
        <f>Table25[[#This Row],[Revenue]]*(1-$O$2)</f>
        <v>10773000</v>
      </c>
    </row>
    <row r="238" spans="1:12" x14ac:dyDescent="0.35">
      <c r="A238" t="s">
        <v>233</v>
      </c>
      <c r="B238" t="s">
        <v>521</v>
      </c>
      <c r="C238" t="s">
        <v>586</v>
      </c>
      <c r="D238" s="2" t="s">
        <v>582</v>
      </c>
      <c r="E238" s="1" t="s">
        <v>592</v>
      </c>
      <c r="F238" s="3">
        <v>-2</v>
      </c>
      <c r="G238" s="4">
        <v>85000</v>
      </c>
      <c r="H238" s="5">
        <v>71</v>
      </c>
      <c r="I238" s="6">
        <v>45687</v>
      </c>
      <c r="J238" s="2" t="s">
        <v>597</v>
      </c>
      <c r="K238" s="15">
        <f>PRODUCT(Table25[[#This Row],[Ticket Price]],Table25[[#This Row],[Passenger Count]])</f>
        <v>6035000</v>
      </c>
      <c r="L238" s="15">
        <f>Table25[[#This Row],[Revenue]]*(1-$O$2)</f>
        <v>5431500</v>
      </c>
    </row>
    <row r="239" spans="1:12" x14ac:dyDescent="0.35">
      <c r="A239" t="s">
        <v>234</v>
      </c>
      <c r="B239" t="s">
        <v>522</v>
      </c>
      <c r="C239" t="s">
        <v>584</v>
      </c>
      <c r="D239" s="2" t="s">
        <v>587</v>
      </c>
      <c r="E239" s="1" t="s">
        <v>592</v>
      </c>
      <c r="F239" s="3">
        <v>112</v>
      </c>
      <c r="G239" s="4">
        <v>135000</v>
      </c>
      <c r="H239" s="5">
        <v>125</v>
      </c>
      <c r="I239" s="6">
        <v>45711</v>
      </c>
      <c r="J239" s="2" t="s">
        <v>598</v>
      </c>
      <c r="K239" s="15">
        <f>PRODUCT(Table25[[#This Row],[Ticket Price]],Table25[[#This Row],[Passenger Count]])</f>
        <v>16875000</v>
      </c>
      <c r="L239" s="15">
        <f>Table25[[#This Row],[Revenue]]*(1-$O$2)</f>
        <v>15187500</v>
      </c>
    </row>
    <row r="240" spans="1:12" x14ac:dyDescent="0.35">
      <c r="A240" t="s">
        <v>235</v>
      </c>
      <c r="B240" t="s">
        <v>523</v>
      </c>
      <c r="C240" t="s">
        <v>582</v>
      </c>
      <c r="D240" s="2" t="s">
        <v>591</v>
      </c>
      <c r="E240" s="1" t="s">
        <v>594</v>
      </c>
      <c r="F240" s="3">
        <v>33</v>
      </c>
      <c r="G240" s="4">
        <v>120000</v>
      </c>
      <c r="H240" s="5">
        <v>70</v>
      </c>
      <c r="I240" s="6">
        <v>45763</v>
      </c>
      <c r="J240" s="2" t="s">
        <v>597</v>
      </c>
      <c r="K240" s="15">
        <f>PRODUCT(Table25[[#This Row],[Ticket Price]],Table25[[#This Row],[Passenger Count]])</f>
        <v>8400000</v>
      </c>
      <c r="L240" s="15">
        <f>Table25[[#This Row],[Revenue]]*(1-$O$2)</f>
        <v>7560000</v>
      </c>
    </row>
    <row r="241" spans="1:12" x14ac:dyDescent="0.35">
      <c r="A241" t="s">
        <v>236</v>
      </c>
      <c r="B241" t="s">
        <v>524</v>
      </c>
      <c r="C241" t="s">
        <v>584</v>
      </c>
      <c r="D241" s="2" t="s">
        <v>590</v>
      </c>
      <c r="E241" s="1" t="s">
        <v>596</v>
      </c>
      <c r="F241" s="3">
        <v>10</v>
      </c>
      <c r="G241" s="4">
        <v>45000</v>
      </c>
      <c r="H241" s="5">
        <v>152</v>
      </c>
      <c r="I241" s="6">
        <v>45768</v>
      </c>
      <c r="J241" s="2" t="s">
        <v>598</v>
      </c>
      <c r="K241" s="15">
        <f>PRODUCT(Table25[[#This Row],[Ticket Price]],Table25[[#This Row],[Passenger Count]])</f>
        <v>6840000</v>
      </c>
      <c r="L241" s="15">
        <f>Table25[[#This Row],[Revenue]]*(1-$O$2)</f>
        <v>6156000</v>
      </c>
    </row>
    <row r="242" spans="1:12" x14ac:dyDescent="0.35">
      <c r="A242" t="s">
        <v>237</v>
      </c>
      <c r="B242" t="s">
        <v>418</v>
      </c>
      <c r="C242" t="s">
        <v>583</v>
      </c>
      <c r="D242" s="2" t="s">
        <v>587</v>
      </c>
      <c r="E242" s="1" t="s">
        <v>595</v>
      </c>
      <c r="F242" s="3">
        <v>146</v>
      </c>
      <c r="G242" s="4">
        <v>140000</v>
      </c>
      <c r="H242" s="5">
        <v>136</v>
      </c>
      <c r="I242" s="6">
        <v>45824</v>
      </c>
      <c r="J242" s="2" t="s">
        <v>597</v>
      </c>
      <c r="K242" s="15">
        <f>PRODUCT(Table25[[#This Row],[Ticket Price]],Table25[[#This Row],[Passenger Count]])</f>
        <v>19040000</v>
      </c>
      <c r="L242" s="15">
        <f>Table25[[#This Row],[Revenue]]*(1-$O$2)</f>
        <v>17136000</v>
      </c>
    </row>
    <row r="243" spans="1:12" x14ac:dyDescent="0.35">
      <c r="A243" t="s">
        <v>238</v>
      </c>
      <c r="B243" t="s">
        <v>525</v>
      </c>
      <c r="C243" t="s">
        <v>582</v>
      </c>
      <c r="D243" s="2" t="s">
        <v>585</v>
      </c>
      <c r="E243" s="1" t="s">
        <v>593</v>
      </c>
      <c r="F243" s="3">
        <v>122</v>
      </c>
      <c r="G243" s="4">
        <v>140000</v>
      </c>
      <c r="H243" s="5">
        <v>102</v>
      </c>
      <c r="I243" s="6">
        <v>45777</v>
      </c>
      <c r="J243" s="2" t="s">
        <v>597</v>
      </c>
      <c r="K243" s="15">
        <f>PRODUCT(Table25[[#This Row],[Ticket Price]],Table25[[#This Row],[Passenger Count]])</f>
        <v>14280000</v>
      </c>
      <c r="L243" s="15">
        <f>Table25[[#This Row],[Revenue]]*(1-$O$2)</f>
        <v>12852000</v>
      </c>
    </row>
    <row r="244" spans="1:12" x14ac:dyDescent="0.35">
      <c r="A244" t="s">
        <v>239</v>
      </c>
      <c r="B244" t="s">
        <v>526</v>
      </c>
      <c r="C244" t="s">
        <v>588</v>
      </c>
      <c r="D244" s="2" t="s">
        <v>584</v>
      </c>
      <c r="E244" s="1" t="s">
        <v>596</v>
      </c>
      <c r="F244" s="3">
        <v>105</v>
      </c>
      <c r="G244" s="4">
        <v>30000</v>
      </c>
      <c r="H244" s="5">
        <v>92</v>
      </c>
      <c r="I244" s="6">
        <v>45788</v>
      </c>
      <c r="J244" s="2" t="s">
        <v>597</v>
      </c>
      <c r="K244" s="15">
        <f>PRODUCT(Table25[[#This Row],[Ticket Price]],Table25[[#This Row],[Passenger Count]])</f>
        <v>2760000</v>
      </c>
      <c r="L244" s="15">
        <f>Table25[[#This Row],[Revenue]]*(1-$O$2)</f>
        <v>2484000</v>
      </c>
    </row>
    <row r="245" spans="1:12" x14ac:dyDescent="0.35">
      <c r="A245" t="s">
        <v>240</v>
      </c>
      <c r="B245" t="s">
        <v>527</v>
      </c>
      <c r="C245" t="s">
        <v>588</v>
      </c>
      <c r="D245" s="2" t="s">
        <v>591</v>
      </c>
      <c r="E245" s="1" t="s">
        <v>593</v>
      </c>
      <c r="F245" s="3">
        <v>60</v>
      </c>
      <c r="G245" s="4">
        <v>30000</v>
      </c>
      <c r="H245" s="5">
        <v>77</v>
      </c>
      <c r="I245" s="6">
        <v>45826</v>
      </c>
      <c r="J245" s="2" t="s">
        <v>597</v>
      </c>
      <c r="K245" s="15">
        <f>PRODUCT(Table25[[#This Row],[Ticket Price]],Table25[[#This Row],[Passenger Count]])</f>
        <v>2310000</v>
      </c>
      <c r="L245" s="15">
        <f>Table25[[#This Row],[Revenue]]*(1-$O$2)</f>
        <v>2079000</v>
      </c>
    </row>
    <row r="246" spans="1:12" x14ac:dyDescent="0.35">
      <c r="A246" t="s">
        <v>241</v>
      </c>
      <c r="B246" t="s">
        <v>528</v>
      </c>
      <c r="C246" t="s">
        <v>585</v>
      </c>
      <c r="D246" s="2" t="s">
        <v>590</v>
      </c>
      <c r="E246" s="1" t="s">
        <v>596</v>
      </c>
      <c r="F246" s="3">
        <v>84</v>
      </c>
      <c r="G246" s="4">
        <v>115000</v>
      </c>
      <c r="H246" s="5">
        <v>101</v>
      </c>
      <c r="I246" s="6">
        <v>45746</v>
      </c>
      <c r="J246" s="2" t="s">
        <v>597</v>
      </c>
      <c r="K246" s="15">
        <f>PRODUCT(Table25[[#This Row],[Ticket Price]],Table25[[#This Row],[Passenger Count]])</f>
        <v>11615000</v>
      </c>
      <c r="L246" s="15">
        <f>Table25[[#This Row],[Revenue]]*(1-$O$2)</f>
        <v>10453500</v>
      </c>
    </row>
    <row r="247" spans="1:12" x14ac:dyDescent="0.35">
      <c r="A247" t="s">
        <v>242</v>
      </c>
      <c r="B247" t="s">
        <v>521</v>
      </c>
      <c r="C247" t="s">
        <v>582</v>
      </c>
      <c r="D247" s="2" t="s">
        <v>583</v>
      </c>
      <c r="E247" s="1" t="s">
        <v>594</v>
      </c>
      <c r="F247" s="3">
        <v>27</v>
      </c>
      <c r="G247" s="4">
        <v>45000</v>
      </c>
      <c r="H247" s="5">
        <v>162</v>
      </c>
      <c r="I247" s="6">
        <v>45742</v>
      </c>
      <c r="J247" s="2" t="s">
        <v>598</v>
      </c>
      <c r="K247" s="15">
        <f>PRODUCT(Table25[[#This Row],[Ticket Price]],Table25[[#This Row],[Passenger Count]])</f>
        <v>7290000</v>
      </c>
      <c r="L247" s="15">
        <f>Table25[[#This Row],[Revenue]]*(1-$O$2)</f>
        <v>6561000</v>
      </c>
    </row>
    <row r="248" spans="1:12" x14ac:dyDescent="0.35">
      <c r="A248" t="s">
        <v>243</v>
      </c>
      <c r="B248" t="s">
        <v>457</v>
      </c>
      <c r="C248" t="s">
        <v>581</v>
      </c>
      <c r="D248" s="2" t="s">
        <v>590</v>
      </c>
      <c r="E248" s="1" t="s">
        <v>595</v>
      </c>
      <c r="F248" s="3">
        <v>5</v>
      </c>
      <c r="G248" s="4">
        <v>140000</v>
      </c>
      <c r="H248" s="5">
        <v>91</v>
      </c>
      <c r="I248" s="6">
        <v>45735</v>
      </c>
      <c r="J248" s="2" t="s">
        <v>597</v>
      </c>
      <c r="K248" s="15">
        <f>PRODUCT(Table25[[#This Row],[Ticket Price]],Table25[[#This Row],[Passenger Count]])</f>
        <v>12740000</v>
      </c>
      <c r="L248" s="15">
        <f>Table25[[#This Row],[Revenue]]*(1-$O$2)</f>
        <v>11466000</v>
      </c>
    </row>
    <row r="249" spans="1:12" x14ac:dyDescent="0.35">
      <c r="A249" t="s">
        <v>244</v>
      </c>
      <c r="B249" t="s">
        <v>529</v>
      </c>
      <c r="C249" t="s">
        <v>588</v>
      </c>
      <c r="D249" s="2" t="s">
        <v>589</v>
      </c>
      <c r="E249" s="1" t="s">
        <v>595</v>
      </c>
      <c r="F249" s="3">
        <v>111</v>
      </c>
      <c r="G249" s="4">
        <v>65000</v>
      </c>
      <c r="H249" s="5">
        <v>139</v>
      </c>
      <c r="I249" s="6">
        <v>45777</v>
      </c>
      <c r="J249" s="2" t="s">
        <v>597</v>
      </c>
      <c r="K249" s="15">
        <f>PRODUCT(Table25[[#This Row],[Ticket Price]],Table25[[#This Row],[Passenger Count]])</f>
        <v>9035000</v>
      </c>
      <c r="L249" s="15">
        <f>Table25[[#This Row],[Revenue]]*(1-$O$2)</f>
        <v>8131500</v>
      </c>
    </row>
    <row r="250" spans="1:12" x14ac:dyDescent="0.35">
      <c r="A250" t="s">
        <v>245</v>
      </c>
      <c r="B250" t="s">
        <v>446</v>
      </c>
      <c r="C250" t="s">
        <v>582</v>
      </c>
      <c r="D250" s="2" t="s">
        <v>584</v>
      </c>
      <c r="E250" s="1" t="s">
        <v>596</v>
      </c>
      <c r="F250" s="3">
        <v>112</v>
      </c>
      <c r="G250" s="4">
        <v>125000</v>
      </c>
      <c r="H250" s="5">
        <v>179</v>
      </c>
      <c r="I250" s="6">
        <v>45723</v>
      </c>
      <c r="J250" s="2" t="s">
        <v>597</v>
      </c>
      <c r="K250" s="15">
        <f>PRODUCT(Table25[[#This Row],[Ticket Price]],Table25[[#This Row],[Passenger Count]])</f>
        <v>22375000</v>
      </c>
      <c r="L250" s="15">
        <f>Table25[[#This Row],[Revenue]]*(1-$O$2)</f>
        <v>20137500</v>
      </c>
    </row>
    <row r="251" spans="1:12" x14ac:dyDescent="0.35">
      <c r="A251" t="s">
        <v>246</v>
      </c>
      <c r="B251" t="s">
        <v>410</v>
      </c>
      <c r="C251" t="s">
        <v>581</v>
      </c>
      <c r="D251" s="2" t="s">
        <v>590</v>
      </c>
      <c r="E251" s="1" t="s">
        <v>595</v>
      </c>
      <c r="F251" s="3">
        <v>121</v>
      </c>
      <c r="G251" s="4">
        <v>70000</v>
      </c>
      <c r="H251" s="5">
        <v>134</v>
      </c>
      <c r="I251" s="6">
        <v>45698</v>
      </c>
      <c r="J251" s="2" t="s">
        <v>598</v>
      </c>
      <c r="K251" s="15">
        <f>PRODUCT(Table25[[#This Row],[Ticket Price]],Table25[[#This Row],[Passenger Count]])</f>
        <v>9380000</v>
      </c>
      <c r="L251" s="15">
        <f>Table25[[#This Row],[Revenue]]*(1-$O$2)</f>
        <v>8442000</v>
      </c>
    </row>
    <row r="252" spans="1:12" x14ac:dyDescent="0.35">
      <c r="A252" t="s">
        <v>247</v>
      </c>
      <c r="B252" t="s">
        <v>530</v>
      </c>
      <c r="C252" t="s">
        <v>588</v>
      </c>
      <c r="D252" s="2" t="s">
        <v>584</v>
      </c>
      <c r="E252" s="1" t="s">
        <v>595</v>
      </c>
      <c r="F252" s="3">
        <v>176</v>
      </c>
      <c r="G252" s="4">
        <v>65000</v>
      </c>
      <c r="H252" s="5">
        <v>149</v>
      </c>
      <c r="I252" s="6">
        <v>45715</v>
      </c>
      <c r="J252" s="2" t="s">
        <v>597</v>
      </c>
      <c r="K252" s="15">
        <f>PRODUCT(Table25[[#This Row],[Ticket Price]],Table25[[#This Row],[Passenger Count]])</f>
        <v>9685000</v>
      </c>
      <c r="L252" s="15">
        <f>Table25[[#This Row],[Revenue]]*(1-$O$2)</f>
        <v>8716500</v>
      </c>
    </row>
    <row r="253" spans="1:12" x14ac:dyDescent="0.35">
      <c r="A253" t="s">
        <v>248</v>
      </c>
      <c r="B253" t="s">
        <v>459</v>
      </c>
      <c r="C253" t="s">
        <v>585</v>
      </c>
      <c r="D253" s="2" t="s">
        <v>589</v>
      </c>
      <c r="E253" s="1" t="s">
        <v>596</v>
      </c>
      <c r="F253" s="3">
        <v>46</v>
      </c>
      <c r="G253" s="4">
        <v>145000</v>
      </c>
      <c r="H253" s="5">
        <v>86</v>
      </c>
      <c r="I253" s="6">
        <v>45804</v>
      </c>
      <c r="J253" s="2" t="s">
        <v>598</v>
      </c>
      <c r="K253" s="15">
        <f>PRODUCT(Table25[[#This Row],[Ticket Price]],Table25[[#This Row],[Passenger Count]])</f>
        <v>12470000</v>
      </c>
      <c r="L253" s="15">
        <f>Table25[[#This Row],[Revenue]]*(1-$O$2)</f>
        <v>11223000</v>
      </c>
    </row>
    <row r="254" spans="1:12" x14ac:dyDescent="0.35">
      <c r="A254" t="s">
        <v>249</v>
      </c>
      <c r="B254" t="s">
        <v>531</v>
      </c>
      <c r="C254" t="s">
        <v>586</v>
      </c>
      <c r="D254" s="2" t="s">
        <v>585</v>
      </c>
      <c r="E254" s="1" t="s">
        <v>594</v>
      </c>
      <c r="F254" s="3">
        <v>141</v>
      </c>
      <c r="G254" s="4">
        <v>75000</v>
      </c>
      <c r="H254" s="5">
        <v>83</v>
      </c>
      <c r="I254" s="6">
        <v>45738</v>
      </c>
      <c r="J254" s="2" t="s">
        <v>597</v>
      </c>
      <c r="K254" s="15">
        <f>PRODUCT(Table25[[#This Row],[Ticket Price]],Table25[[#This Row],[Passenger Count]])</f>
        <v>6225000</v>
      </c>
      <c r="L254" s="15">
        <f>Table25[[#This Row],[Revenue]]*(1-$O$2)</f>
        <v>5602500</v>
      </c>
    </row>
    <row r="255" spans="1:12" x14ac:dyDescent="0.35">
      <c r="A255" t="s">
        <v>250</v>
      </c>
      <c r="B255" t="s">
        <v>442</v>
      </c>
      <c r="C255" t="s">
        <v>586</v>
      </c>
      <c r="D255" s="2" t="s">
        <v>589</v>
      </c>
      <c r="E255" s="1" t="s">
        <v>594</v>
      </c>
      <c r="F255" s="3">
        <v>118</v>
      </c>
      <c r="G255" s="4">
        <v>75000</v>
      </c>
      <c r="H255" s="5">
        <v>75</v>
      </c>
      <c r="I255" s="6">
        <v>45683</v>
      </c>
      <c r="J255" s="2" t="s">
        <v>598</v>
      </c>
      <c r="K255" s="15">
        <f>PRODUCT(Table25[[#This Row],[Ticket Price]],Table25[[#This Row],[Passenger Count]])</f>
        <v>5625000</v>
      </c>
      <c r="L255" s="15">
        <f>Table25[[#This Row],[Revenue]]*(1-$O$2)</f>
        <v>5062500</v>
      </c>
    </row>
    <row r="256" spans="1:12" x14ac:dyDescent="0.35">
      <c r="A256" t="s">
        <v>251</v>
      </c>
      <c r="B256" t="s">
        <v>488</v>
      </c>
      <c r="C256" t="s">
        <v>587</v>
      </c>
      <c r="D256" s="2" t="s">
        <v>591</v>
      </c>
      <c r="E256" s="1" t="s">
        <v>592</v>
      </c>
      <c r="F256" s="3">
        <v>69</v>
      </c>
      <c r="G256" s="4">
        <v>95000</v>
      </c>
      <c r="H256" s="5">
        <v>62</v>
      </c>
      <c r="I256" s="6">
        <v>45670</v>
      </c>
      <c r="J256" s="2" t="s">
        <v>597</v>
      </c>
      <c r="K256" s="15">
        <f>PRODUCT(Table25[[#This Row],[Ticket Price]],Table25[[#This Row],[Passenger Count]])</f>
        <v>5890000</v>
      </c>
      <c r="L256" s="15">
        <f>Table25[[#This Row],[Revenue]]*(1-$O$2)</f>
        <v>5301000</v>
      </c>
    </row>
    <row r="257" spans="1:12" x14ac:dyDescent="0.35">
      <c r="A257" t="s">
        <v>252</v>
      </c>
      <c r="B257" t="s">
        <v>381</v>
      </c>
      <c r="C257" t="s">
        <v>588</v>
      </c>
      <c r="D257" s="2" t="s">
        <v>587</v>
      </c>
      <c r="E257" s="1" t="s">
        <v>594</v>
      </c>
      <c r="F257" s="3">
        <v>108</v>
      </c>
      <c r="G257" s="4">
        <v>80000</v>
      </c>
      <c r="H257" s="5">
        <v>92</v>
      </c>
      <c r="I257" s="6">
        <v>45795</v>
      </c>
      <c r="J257" s="2" t="s">
        <v>598</v>
      </c>
      <c r="K257" s="15">
        <f>PRODUCT(Table25[[#This Row],[Ticket Price]],Table25[[#This Row],[Passenger Count]])</f>
        <v>7360000</v>
      </c>
      <c r="L257" s="15">
        <f>Table25[[#This Row],[Revenue]]*(1-$O$2)</f>
        <v>6624000</v>
      </c>
    </row>
    <row r="258" spans="1:12" x14ac:dyDescent="0.35">
      <c r="A258" t="s">
        <v>253</v>
      </c>
      <c r="B258" t="s">
        <v>532</v>
      </c>
      <c r="C258" t="s">
        <v>585</v>
      </c>
      <c r="D258" s="2" t="s">
        <v>583</v>
      </c>
      <c r="E258" s="1" t="s">
        <v>594</v>
      </c>
      <c r="F258" s="3">
        <v>24</v>
      </c>
      <c r="G258" s="4">
        <v>130000</v>
      </c>
      <c r="H258" s="5">
        <v>153</v>
      </c>
      <c r="I258" s="6">
        <v>45681</v>
      </c>
      <c r="J258" s="2" t="s">
        <v>598</v>
      </c>
      <c r="K258" s="15">
        <f>PRODUCT(Table25[[#This Row],[Ticket Price]],Table25[[#This Row],[Passenger Count]])</f>
        <v>19890000</v>
      </c>
      <c r="L258" s="15">
        <f>Table25[[#This Row],[Revenue]]*(1-$O$2)</f>
        <v>17901000</v>
      </c>
    </row>
    <row r="259" spans="1:12" x14ac:dyDescent="0.35">
      <c r="A259" t="s">
        <v>254</v>
      </c>
      <c r="B259" t="s">
        <v>533</v>
      </c>
      <c r="C259" t="s">
        <v>582</v>
      </c>
      <c r="D259" s="2" t="s">
        <v>590</v>
      </c>
      <c r="E259" s="1" t="s">
        <v>594</v>
      </c>
      <c r="F259" s="3">
        <v>126</v>
      </c>
      <c r="G259" s="4">
        <v>95000</v>
      </c>
      <c r="H259" s="5">
        <v>150</v>
      </c>
      <c r="I259" s="6">
        <v>45836</v>
      </c>
      <c r="J259" s="2" t="s">
        <v>598</v>
      </c>
      <c r="K259" s="15">
        <f>PRODUCT(Table25[[#This Row],[Ticket Price]],Table25[[#This Row],[Passenger Count]])</f>
        <v>14250000</v>
      </c>
      <c r="L259" s="15">
        <f>Table25[[#This Row],[Revenue]]*(1-$O$2)</f>
        <v>12825000</v>
      </c>
    </row>
    <row r="260" spans="1:12" x14ac:dyDescent="0.35">
      <c r="A260" t="s">
        <v>255</v>
      </c>
      <c r="B260" t="s">
        <v>433</v>
      </c>
      <c r="C260" t="s">
        <v>585</v>
      </c>
      <c r="D260" s="2" t="s">
        <v>591</v>
      </c>
      <c r="E260" s="1" t="s">
        <v>592</v>
      </c>
      <c r="F260" s="3">
        <v>150</v>
      </c>
      <c r="G260" s="4">
        <v>70000</v>
      </c>
      <c r="H260" s="5">
        <v>109</v>
      </c>
      <c r="I260" s="6">
        <v>45784</v>
      </c>
      <c r="J260" s="2" t="s">
        <v>597</v>
      </c>
      <c r="K260" s="15">
        <f>PRODUCT(Table25[[#This Row],[Ticket Price]],Table25[[#This Row],[Passenger Count]])</f>
        <v>7630000</v>
      </c>
      <c r="L260" s="15">
        <f>Table25[[#This Row],[Revenue]]*(1-$O$2)</f>
        <v>6867000</v>
      </c>
    </row>
    <row r="261" spans="1:12" x14ac:dyDescent="0.35">
      <c r="A261" t="s">
        <v>256</v>
      </c>
      <c r="B261" t="s">
        <v>534</v>
      </c>
      <c r="C261" t="s">
        <v>586</v>
      </c>
      <c r="D261" s="2" t="s">
        <v>587</v>
      </c>
      <c r="E261" s="1" t="s">
        <v>594</v>
      </c>
      <c r="F261" s="3">
        <v>180</v>
      </c>
      <c r="G261" s="4">
        <v>110000</v>
      </c>
      <c r="H261" s="5">
        <v>90</v>
      </c>
      <c r="I261" s="6">
        <v>45760</v>
      </c>
      <c r="J261" s="2" t="s">
        <v>597</v>
      </c>
      <c r="K261" s="15">
        <f>PRODUCT(Table25[[#This Row],[Ticket Price]],Table25[[#This Row],[Passenger Count]])</f>
        <v>9900000</v>
      </c>
      <c r="L261" s="15">
        <f>Table25[[#This Row],[Revenue]]*(1-$O$2)</f>
        <v>8910000</v>
      </c>
    </row>
    <row r="262" spans="1:12" x14ac:dyDescent="0.35">
      <c r="A262" t="s">
        <v>257</v>
      </c>
      <c r="B262" t="s">
        <v>535</v>
      </c>
      <c r="C262" t="s">
        <v>584</v>
      </c>
      <c r="D262" s="2" t="s">
        <v>590</v>
      </c>
      <c r="E262" s="1" t="s">
        <v>596</v>
      </c>
      <c r="F262" s="3">
        <v>38</v>
      </c>
      <c r="G262" s="4">
        <v>35000</v>
      </c>
      <c r="H262" s="5">
        <v>127</v>
      </c>
      <c r="I262" s="6">
        <v>45711</v>
      </c>
      <c r="J262" s="2" t="s">
        <v>598</v>
      </c>
      <c r="K262" s="15">
        <f>PRODUCT(Table25[[#This Row],[Ticket Price]],Table25[[#This Row],[Passenger Count]])</f>
        <v>4445000</v>
      </c>
      <c r="L262" s="15">
        <f>Table25[[#This Row],[Revenue]]*(1-$O$2)</f>
        <v>4000500</v>
      </c>
    </row>
    <row r="263" spans="1:12" x14ac:dyDescent="0.35">
      <c r="A263" t="s">
        <v>258</v>
      </c>
      <c r="B263" t="s">
        <v>536</v>
      </c>
      <c r="C263" t="s">
        <v>584</v>
      </c>
      <c r="D263" s="2" t="s">
        <v>591</v>
      </c>
      <c r="E263" s="1" t="s">
        <v>596</v>
      </c>
      <c r="F263" s="3">
        <v>86</v>
      </c>
      <c r="G263" s="4">
        <v>90000</v>
      </c>
      <c r="H263" s="5">
        <v>155</v>
      </c>
      <c r="I263" s="6">
        <v>45684</v>
      </c>
      <c r="J263" s="2" t="s">
        <v>597</v>
      </c>
      <c r="K263" s="15">
        <f>PRODUCT(Table25[[#This Row],[Ticket Price]],Table25[[#This Row],[Passenger Count]])</f>
        <v>13950000</v>
      </c>
      <c r="L263" s="15">
        <f>Table25[[#This Row],[Revenue]]*(1-$O$2)</f>
        <v>12555000</v>
      </c>
    </row>
    <row r="264" spans="1:12" x14ac:dyDescent="0.35">
      <c r="A264" t="s">
        <v>259</v>
      </c>
      <c r="B264" t="s">
        <v>508</v>
      </c>
      <c r="C264" t="s">
        <v>588</v>
      </c>
      <c r="D264" s="2" t="s">
        <v>583</v>
      </c>
      <c r="E264" s="1" t="s">
        <v>595</v>
      </c>
      <c r="F264" s="3">
        <v>13</v>
      </c>
      <c r="G264" s="4">
        <v>115000</v>
      </c>
      <c r="H264" s="5">
        <v>161</v>
      </c>
      <c r="I264" s="6">
        <v>45760</v>
      </c>
      <c r="J264" s="2" t="s">
        <v>597</v>
      </c>
      <c r="K264" s="15">
        <f>PRODUCT(Table25[[#This Row],[Ticket Price]],Table25[[#This Row],[Passenger Count]])</f>
        <v>18515000</v>
      </c>
      <c r="L264" s="15">
        <f>Table25[[#This Row],[Revenue]]*(1-$O$2)</f>
        <v>16663500</v>
      </c>
    </row>
    <row r="265" spans="1:12" x14ac:dyDescent="0.35">
      <c r="A265" t="s">
        <v>260</v>
      </c>
      <c r="B265" t="s">
        <v>347</v>
      </c>
      <c r="C265" t="s">
        <v>581</v>
      </c>
      <c r="D265" s="2" t="s">
        <v>590</v>
      </c>
      <c r="E265" s="1" t="s">
        <v>594</v>
      </c>
      <c r="F265" s="3">
        <v>130</v>
      </c>
      <c r="G265" s="4">
        <v>100000</v>
      </c>
      <c r="H265" s="5">
        <v>97</v>
      </c>
      <c r="I265" s="6">
        <v>45739</v>
      </c>
      <c r="J265" s="2" t="s">
        <v>597</v>
      </c>
      <c r="K265" s="15">
        <f>PRODUCT(Table25[[#This Row],[Ticket Price]],Table25[[#This Row],[Passenger Count]])</f>
        <v>9700000</v>
      </c>
      <c r="L265" s="15">
        <f>Table25[[#This Row],[Revenue]]*(1-$O$2)</f>
        <v>8730000</v>
      </c>
    </row>
    <row r="266" spans="1:12" x14ac:dyDescent="0.35">
      <c r="A266" t="s">
        <v>261</v>
      </c>
      <c r="B266" t="s">
        <v>537</v>
      </c>
      <c r="C266" t="s">
        <v>588</v>
      </c>
      <c r="D266" s="2" t="s">
        <v>587</v>
      </c>
      <c r="E266" s="1" t="s">
        <v>595</v>
      </c>
      <c r="F266" s="3">
        <v>22</v>
      </c>
      <c r="G266" s="4">
        <v>55000</v>
      </c>
      <c r="H266" s="5">
        <v>68</v>
      </c>
      <c r="I266" s="6">
        <v>45686</v>
      </c>
      <c r="J266" s="2" t="s">
        <v>597</v>
      </c>
      <c r="K266" s="15">
        <f>PRODUCT(Table25[[#This Row],[Ticket Price]],Table25[[#This Row],[Passenger Count]])</f>
        <v>3740000</v>
      </c>
      <c r="L266" s="15">
        <f>Table25[[#This Row],[Revenue]]*(1-$O$2)</f>
        <v>3366000</v>
      </c>
    </row>
    <row r="267" spans="1:12" x14ac:dyDescent="0.35">
      <c r="A267" t="s">
        <v>262</v>
      </c>
      <c r="B267" t="s">
        <v>538</v>
      </c>
      <c r="C267" t="s">
        <v>583</v>
      </c>
      <c r="D267" s="2" t="s">
        <v>589</v>
      </c>
      <c r="E267" s="1" t="s">
        <v>596</v>
      </c>
      <c r="F267" s="3">
        <v>148</v>
      </c>
      <c r="G267" s="4">
        <v>125000</v>
      </c>
      <c r="H267" s="5">
        <v>144</v>
      </c>
      <c r="I267" s="6">
        <v>45821</v>
      </c>
      <c r="J267" s="2" t="s">
        <v>598</v>
      </c>
      <c r="K267" s="15">
        <f>PRODUCT(Table25[[#This Row],[Ticket Price]],Table25[[#This Row],[Passenger Count]])</f>
        <v>18000000</v>
      </c>
      <c r="L267" s="15">
        <f>Table25[[#This Row],[Revenue]]*(1-$O$2)</f>
        <v>16200000</v>
      </c>
    </row>
    <row r="268" spans="1:12" x14ac:dyDescent="0.35">
      <c r="A268" t="s">
        <v>263</v>
      </c>
      <c r="B268" t="s">
        <v>539</v>
      </c>
      <c r="C268" t="s">
        <v>583</v>
      </c>
      <c r="D268" s="2" t="s">
        <v>589</v>
      </c>
      <c r="E268" s="1" t="s">
        <v>596</v>
      </c>
      <c r="F268" s="3">
        <v>142</v>
      </c>
      <c r="G268" s="4">
        <v>50000</v>
      </c>
      <c r="H268" s="5">
        <v>152</v>
      </c>
      <c r="I268" s="6">
        <v>45701</v>
      </c>
      <c r="J268" s="2" t="s">
        <v>597</v>
      </c>
      <c r="K268" s="15">
        <f>PRODUCT(Table25[[#This Row],[Ticket Price]],Table25[[#This Row],[Passenger Count]])</f>
        <v>7600000</v>
      </c>
      <c r="L268" s="15">
        <f>Table25[[#This Row],[Revenue]]*(1-$O$2)</f>
        <v>6840000</v>
      </c>
    </row>
    <row r="269" spans="1:12" x14ac:dyDescent="0.35">
      <c r="A269" t="s">
        <v>264</v>
      </c>
      <c r="B269" t="s">
        <v>416</v>
      </c>
      <c r="C269" t="s">
        <v>583</v>
      </c>
      <c r="D269" s="2" t="s">
        <v>582</v>
      </c>
      <c r="E269" s="1" t="s">
        <v>595</v>
      </c>
      <c r="F269" s="3">
        <v>49</v>
      </c>
      <c r="G269" s="4">
        <v>55000</v>
      </c>
      <c r="H269" s="5">
        <v>147</v>
      </c>
      <c r="I269" s="6">
        <v>45795</v>
      </c>
      <c r="J269" s="2" t="s">
        <v>598</v>
      </c>
      <c r="K269" s="15">
        <f>PRODUCT(Table25[[#This Row],[Ticket Price]],Table25[[#This Row],[Passenger Count]])</f>
        <v>8085000</v>
      </c>
      <c r="L269" s="15">
        <f>Table25[[#This Row],[Revenue]]*(1-$O$2)</f>
        <v>7276500</v>
      </c>
    </row>
    <row r="270" spans="1:12" x14ac:dyDescent="0.35">
      <c r="A270" t="s">
        <v>265</v>
      </c>
      <c r="B270" t="s">
        <v>540</v>
      </c>
      <c r="C270" t="s">
        <v>581</v>
      </c>
      <c r="D270" s="2" t="s">
        <v>583</v>
      </c>
      <c r="E270" s="1" t="s">
        <v>592</v>
      </c>
      <c r="F270" s="3">
        <v>54</v>
      </c>
      <c r="G270" s="4">
        <v>40000</v>
      </c>
      <c r="H270" s="5">
        <v>87</v>
      </c>
      <c r="I270" s="6">
        <v>45763</v>
      </c>
      <c r="J270" s="2" t="s">
        <v>597</v>
      </c>
      <c r="K270" s="15">
        <f>PRODUCT(Table25[[#This Row],[Ticket Price]],Table25[[#This Row],[Passenger Count]])</f>
        <v>3480000</v>
      </c>
      <c r="L270" s="15">
        <f>Table25[[#This Row],[Revenue]]*(1-$O$2)</f>
        <v>3132000</v>
      </c>
    </row>
    <row r="271" spans="1:12" x14ac:dyDescent="0.35">
      <c r="A271" t="s">
        <v>266</v>
      </c>
      <c r="B271" t="s">
        <v>462</v>
      </c>
      <c r="C271" t="s">
        <v>582</v>
      </c>
      <c r="D271" s="2" t="s">
        <v>590</v>
      </c>
      <c r="E271" s="1" t="s">
        <v>593</v>
      </c>
      <c r="F271" s="3">
        <v>19</v>
      </c>
      <c r="G271" s="4">
        <v>35000</v>
      </c>
      <c r="H271" s="5">
        <v>151</v>
      </c>
      <c r="I271" s="6">
        <v>45757</v>
      </c>
      <c r="J271" s="2" t="s">
        <v>598</v>
      </c>
      <c r="K271" s="15">
        <f>PRODUCT(Table25[[#This Row],[Ticket Price]],Table25[[#This Row],[Passenger Count]])</f>
        <v>5285000</v>
      </c>
      <c r="L271" s="15">
        <f>Table25[[#This Row],[Revenue]]*(1-$O$2)</f>
        <v>4756500</v>
      </c>
    </row>
    <row r="272" spans="1:12" x14ac:dyDescent="0.35">
      <c r="A272" t="s">
        <v>267</v>
      </c>
      <c r="B272" t="s">
        <v>470</v>
      </c>
      <c r="C272" t="s">
        <v>581</v>
      </c>
      <c r="D272" s="2" t="s">
        <v>587</v>
      </c>
      <c r="E272" s="1" t="s">
        <v>596</v>
      </c>
      <c r="F272" s="3">
        <v>35</v>
      </c>
      <c r="G272" s="4">
        <v>145000</v>
      </c>
      <c r="H272" s="5">
        <v>146</v>
      </c>
      <c r="I272" s="6">
        <v>45791</v>
      </c>
      <c r="J272" s="2" t="s">
        <v>597</v>
      </c>
      <c r="K272" s="15">
        <f>PRODUCT(Table25[[#This Row],[Ticket Price]],Table25[[#This Row],[Passenger Count]])</f>
        <v>21170000</v>
      </c>
      <c r="L272" s="15">
        <f>Table25[[#This Row],[Revenue]]*(1-$O$2)</f>
        <v>19053000</v>
      </c>
    </row>
    <row r="273" spans="1:12" x14ac:dyDescent="0.35">
      <c r="A273" t="s">
        <v>268</v>
      </c>
      <c r="B273" t="s">
        <v>541</v>
      </c>
      <c r="C273" t="s">
        <v>588</v>
      </c>
      <c r="D273" s="2" t="s">
        <v>589</v>
      </c>
      <c r="E273" s="1" t="s">
        <v>592</v>
      </c>
      <c r="F273" s="3">
        <v>155</v>
      </c>
      <c r="G273" s="4">
        <v>75000</v>
      </c>
      <c r="H273" s="5">
        <v>118</v>
      </c>
      <c r="I273" s="6">
        <v>45755</v>
      </c>
      <c r="J273" s="2" t="s">
        <v>597</v>
      </c>
      <c r="K273" s="15">
        <f>PRODUCT(Table25[[#This Row],[Ticket Price]],Table25[[#This Row],[Passenger Count]])</f>
        <v>8850000</v>
      </c>
      <c r="L273" s="15">
        <f>Table25[[#This Row],[Revenue]]*(1-$O$2)</f>
        <v>7965000</v>
      </c>
    </row>
    <row r="274" spans="1:12" x14ac:dyDescent="0.35">
      <c r="A274" t="s">
        <v>269</v>
      </c>
      <c r="B274" t="s">
        <v>542</v>
      </c>
      <c r="C274" t="s">
        <v>581</v>
      </c>
      <c r="D274" s="2" t="s">
        <v>591</v>
      </c>
      <c r="E274" s="1" t="s">
        <v>592</v>
      </c>
      <c r="F274" s="3">
        <v>101</v>
      </c>
      <c r="G274" s="4">
        <v>65000</v>
      </c>
      <c r="H274" s="5">
        <v>84</v>
      </c>
      <c r="I274" s="6">
        <v>45832</v>
      </c>
      <c r="J274" s="2" t="s">
        <v>598</v>
      </c>
      <c r="K274" s="15">
        <f>PRODUCT(Table25[[#This Row],[Ticket Price]],Table25[[#This Row],[Passenger Count]])</f>
        <v>5460000</v>
      </c>
      <c r="L274" s="15">
        <f>Table25[[#This Row],[Revenue]]*(1-$O$2)</f>
        <v>4914000</v>
      </c>
    </row>
    <row r="275" spans="1:12" x14ac:dyDescent="0.35">
      <c r="A275" t="s">
        <v>270</v>
      </c>
      <c r="B275" t="s">
        <v>543</v>
      </c>
      <c r="C275" t="s">
        <v>583</v>
      </c>
      <c r="D275" s="2" t="s">
        <v>587</v>
      </c>
      <c r="E275" s="1" t="s">
        <v>596</v>
      </c>
      <c r="F275" s="3">
        <v>164</v>
      </c>
      <c r="G275" s="4">
        <v>35000</v>
      </c>
      <c r="H275" s="5">
        <v>90</v>
      </c>
      <c r="I275" s="6">
        <v>45771</v>
      </c>
      <c r="J275" s="2" t="s">
        <v>598</v>
      </c>
      <c r="K275" s="15">
        <f>PRODUCT(Table25[[#This Row],[Ticket Price]],Table25[[#This Row],[Passenger Count]])</f>
        <v>3150000</v>
      </c>
      <c r="L275" s="15">
        <f>Table25[[#This Row],[Revenue]]*(1-$O$2)</f>
        <v>2835000</v>
      </c>
    </row>
    <row r="276" spans="1:12" x14ac:dyDescent="0.35">
      <c r="A276" t="s">
        <v>271</v>
      </c>
      <c r="B276" t="s">
        <v>544</v>
      </c>
      <c r="C276" t="s">
        <v>587</v>
      </c>
      <c r="D276" s="2" t="s">
        <v>589</v>
      </c>
      <c r="E276" s="1" t="s">
        <v>593</v>
      </c>
      <c r="F276" s="3">
        <v>54</v>
      </c>
      <c r="G276" s="4">
        <v>105000</v>
      </c>
      <c r="H276" s="5">
        <v>163</v>
      </c>
      <c r="I276" s="6">
        <v>45763</v>
      </c>
      <c r="J276" s="2" t="s">
        <v>597</v>
      </c>
      <c r="K276" s="15">
        <f>PRODUCT(Table25[[#This Row],[Ticket Price]],Table25[[#This Row],[Passenger Count]])</f>
        <v>17115000</v>
      </c>
      <c r="L276" s="15">
        <f>Table25[[#This Row],[Revenue]]*(1-$O$2)</f>
        <v>15403500</v>
      </c>
    </row>
    <row r="277" spans="1:12" x14ac:dyDescent="0.35">
      <c r="A277" t="s">
        <v>272</v>
      </c>
      <c r="B277" t="s">
        <v>545</v>
      </c>
      <c r="C277" t="s">
        <v>584</v>
      </c>
      <c r="D277" s="2" t="s">
        <v>591</v>
      </c>
      <c r="E277" s="1" t="s">
        <v>592</v>
      </c>
      <c r="F277" s="3">
        <v>63</v>
      </c>
      <c r="G277" s="4">
        <v>35000</v>
      </c>
      <c r="H277" s="5">
        <v>78</v>
      </c>
      <c r="I277" s="6">
        <v>45830</v>
      </c>
      <c r="J277" s="2" t="s">
        <v>597</v>
      </c>
      <c r="K277" s="15">
        <f>PRODUCT(Table25[[#This Row],[Ticket Price]],Table25[[#This Row],[Passenger Count]])</f>
        <v>2730000</v>
      </c>
      <c r="L277" s="15">
        <f>Table25[[#This Row],[Revenue]]*(1-$O$2)</f>
        <v>2457000</v>
      </c>
    </row>
    <row r="278" spans="1:12" x14ac:dyDescent="0.35">
      <c r="A278" t="s">
        <v>273</v>
      </c>
      <c r="B278" t="s">
        <v>546</v>
      </c>
      <c r="C278" t="s">
        <v>586</v>
      </c>
      <c r="D278" s="2" t="s">
        <v>585</v>
      </c>
      <c r="E278" s="1" t="s">
        <v>592</v>
      </c>
      <c r="F278" s="3">
        <v>171</v>
      </c>
      <c r="G278" s="4">
        <v>140000</v>
      </c>
      <c r="H278" s="5">
        <v>141</v>
      </c>
      <c r="I278" s="6">
        <v>45738</v>
      </c>
      <c r="J278" s="2" t="s">
        <v>597</v>
      </c>
      <c r="K278" s="15">
        <f>PRODUCT(Table25[[#This Row],[Ticket Price]],Table25[[#This Row],[Passenger Count]])</f>
        <v>19740000</v>
      </c>
      <c r="L278" s="15">
        <f>Table25[[#This Row],[Revenue]]*(1-$O$2)</f>
        <v>17766000</v>
      </c>
    </row>
    <row r="279" spans="1:12" x14ac:dyDescent="0.35">
      <c r="A279" t="s">
        <v>274</v>
      </c>
      <c r="B279" t="s">
        <v>358</v>
      </c>
      <c r="C279" t="s">
        <v>585</v>
      </c>
      <c r="D279" s="2" t="s">
        <v>589</v>
      </c>
      <c r="E279" s="1" t="s">
        <v>596</v>
      </c>
      <c r="F279" s="3">
        <v>46</v>
      </c>
      <c r="G279" s="4">
        <v>35000</v>
      </c>
      <c r="H279" s="5">
        <v>163</v>
      </c>
      <c r="I279" s="6">
        <v>45718</v>
      </c>
      <c r="J279" s="2" t="s">
        <v>598</v>
      </c>
      <c r="K279" s="15">
        <f>PRODUCT(Table25[[#This Row],[Ticket Price]],Table25[[#This Row],[Passenger Count]])</f>
        <v>5705000</v>
      </c>
      <c r="L279" s="15">
        <f>Table25[[#This Row],[Revenue]]*(1-$O$2)</f>
        <v>5134500</v>
      </c>
    </row>
    <row r="280" spans="1:12" x14ac:dyDescent="0.35">
      <c r="A280" t="s">
        <v>275</v>
      </c>
      <c r="B280" t="s">
        <v>547</v>
      </c>
      <c r="C280" t="s">
        <v>584</v>
      </c>
      <c r="D280" s="2" t="s">
        <v>589</v>
      </c>
      <c r="E280" s="1" t="s">
        <v>596</v>
      </c>
      <c r="F280" s="3">
        <v>73</v>
      </c>
      <c r="G280" s="4">
        <v>140000</v>
      </c>
      <c r="H280" s="5">
        <v>158</v>
      </c>
      <c r="I280" s="6">
        <v>45761</v>
      </c>
      <c r="J280" s="2" t="s">
        <v>598</v>
      </c>
      <c r="K280" s="15">
        <f>PRODUCT(Table25[[#This Row],[Ticket Price]],Table25[[#This Row],[Passenger Count]])</f>
        <v>22120000</v>
      </c>
      <c r="L280" s="15">
        <f>Table25[[#This Row],[Revenue]]*(1-$O$2)</f>
        <v>19908000</v>
      </c>
    </row>
    <row r="281" spans="1:12" x14ac:dyDescent="0.35">
      <c r="A281" t="s">
        <v>276</v>
      </c>
      <c r="B281" t="s">
        <v>476</v>
      </c>
      <c r="C281" t="s">
        <v>584</v>
      </c>
      <c r="D281" s="2" t="s">
        <v>587</v>
      </c>
      <c r="E281" s="1" t="s">
        <v>596</v>
      </c>
      <c r="F281" s="3">
        <v>173</v>
      </c>
      <c r="G281" s="4">
        <v>120000</v>
      </c>
      <c r="H281" s="5">
        <v>65</v>
      </c>
      <c r="I281" s="6">
        <v>45698</v>
      </c>
      <c r="J281" s="2" t="s">
        <v>597</v>
      </c>
      <c r="K281" s="15">
        <f>PRODUCT(Table25[[#This Row],[Ticket Price]],Table25[[#This Row],[Passenger Count]])</f>
        <v>7800000</v>
      </c>
      <c r="L281" s="15">
        <f>Table25[[#This Row],[Revenue]]*(1-$O$2)</f>
        <v>7020000</v>
      </c>
    </row>
    <row r="282" spans="1:12" x14ac:dyDescent="0.35">
      <c r="A282" t="s">
        <v>277</v>
      </c>
      <c r="B282" t="s">
        <v>548</v>
      </c>
      <c r="C282" t="s">
        <v>583</v>
      </c>
      <c r="D282" s="2" t="s">
        <v>585</v>
      </c>
      <c r="E282" s="1" t="s">
        <v>595</v>
      </c>
      <c r="F282" s="3">
        <v>174</v>
      </c>
      <c r="G282" s="4">
        <v>115000</v>
      </c>
      <c r="H282" s="5">
        <v>162</v>
      </c>
      <c r="I282" s="6">
        <v>45670</v>
      </c>
      <c r="J282" s="2" t="s">
        <v>597</v>
      </c>
      <c r="K282" s="15">
        <f>PRODUCT(Table25[[#This Row],[Ticket Price]],Table25[[#This Row],[Passenger Count]])</f>
        <v>18630000</v>
      </c>
      <c r="L282" s="15">
        <f>Table25[[#This Row],[Revenue]]*(1-$O$2)</f>
        <v>16767000</v>
      </c>
    </row>
    <row r="283" spans="1:12" x14ac:dyDescent="0.35">
      <c r="A283" t="s">
        <v>278</v>
      </c>
      <c r="B283" t="s">
        <v>443</v>
      </c>
      <c r="C283" t="s">
        <v>588</v>
      </c>
      <c r="D283" s="2" t="s">
        <v>585</v>
      </c>
      <c r="E283" s="1" t="s">
        <v>592</v>
      </c>
      <c r="F283" s="3">
        <v>-4</v>
      </c>
      <c r="G283" s="4">
        <v>25000</v>
      </c>
      <c r="H283" s="5">
        <v>92</v>
      </c>
      <c r="I283" s="6">
        <v>45755</v>
      </c>
      <c r="J283" s="2" t="s">
        <v>597</v>
      </c>
      <c r="K283" s="15">
        <f>PRODUCT(Table25[[#This Row],[Ticket Price]],Table25[[#This Row],[Passenger Count]])</f>
        <v>2300000</v>
      </c>
      <c r="L283" s="15">
        <f>Table25[[#This Row],[Revenue]]*(1-$O$2)</f>
        <v>2070000</v>
      </c>
    </row>
    <row r="284" spans="1:12" x14ac:dyDescent="0.35">
      <c r="A284" t="s">
        <v>279</v>
      </c>
      <c r="B284" t="s">
        <v>549</v>
      </c>
      <c r="C284" t="s">
        <v>581</v>
      </c>
      <c r="D284" s="2" t="s">
        <v>582</v>
      </c>
      <c r="E284" s="1" t="s">
        <v>594</v>
      </c>
      <c r="F284" s="3">
        <v>107</v>
      </c>
      <c r="G284" s="4">
        <v>55000</v>
      </c>
      <c r="H284" s="5">
        <v>86</v>
      </c>
      <c r="I284" s="6">
        <v>45810</v>
      </c>
      <c r="J284" s="2" t="s">
        <v>598</v>
      </c>
      <c r="K284" s="15">
        <f>PRODUCT(Table25[[#This Row],[Ticket Price]],Table25[[#This Row],[Passenger Count]])</f>
        <v>4730000</v>
      </c>
      <c r="L284" s="15">
        <f>Table25[[#This Row],[Revenue]]*(1-$O$2)</f>
        <v>4257000</v>
      </c>
    </row>
    <row r="285" spans="1:12" x14ac:dyDescent="0.35">
      <c r="A285" t="s">
        <v>280</v>
      </c>
      <c r="B285" t="s">
        <v>550</v>
      </c>
      <c r="C285" t="s">
        <v>588</v>
      </c>
      <c r="D285" s="2" t="s">
        <v>587</v>
      </c>
      <c r="E285" s="1" t="s">
        <v>595</v>
      </c>
      <c r="F285" s="3">
        <v>177</v>
      </c>
      <c r="G285" s="4">
        <v>110000</v>
      </c>
      <c r="H285" s="5">
        <v>123</v>
      </c>
      <c r="I285" s="6">
        <v>45734</v>
      </c>
      <c r="J285" s="2" t="s">
        <v>598</v>
      </c>
      <c r="K285" s="15">
        <f>PRODUCT(Table25[[#This Row],[Ticket Price]],Table25[[#This Row],[Passenger Count]])</f>
        <v>13530000</v>
      </c>
      <c r="L285" s="15">
        <f>Table25[[#This Row],[Revenue]]*(1-$O$2)</f>
        <v>12177000</v>
      </c>
    </row>
    <row r="286" spans="1:12" x14ac:dyDescent="0.35">
      <c r="A286" t="s">
        <v>281</v>
      </c>
      <c r="B286" t="s">
        <v>551</v>
      </c>
      <c r="C286" t="s">
        <v>585</v>
      </c>
      <c r="D286" s="2" t="s">
        <v>587</v>
      </c>
      <c r="E286" s="1" t="s">
        <v>592</v>
      </c>
      <c r="F286" s="3">
        <v>59</v>
      </c>
      <c r="G286" s="4">
        <v>30000</v>
      </c>
      <c r="H286" s="5">
        <v>165</v>
      </c>
      <c r="I286" s="6">
        <v>45829</v>
      </c>
      <c r="J286" s="2" t="s">
        <v>597</v>
      </c>
      <c r="K286" s="15">
        <f>PRODUCT(Table25[[#This Row],[Ticket Price]],Table25[[#This Row],[Passenger Count]])</f>
        <v>4950000</v>
      </c>
      <c r="L286" s="15">
        <f>Table25[[#This Row],[Revenue]]*(1-$O$2)</f>
        <v>4455000</v>
      </c>
    </row>
    <row r="287" spans="1:12" x14ac:dyDescent="0.35">
      <c r="A287" t="s">
        <v>282</v>
      </c>
      <c r="B287" t="s">
        <v>552</v>
      </c>
      <c r="C287" t="s">
        <v>581</v>
      </c>
      <c r="D287" s="2" t="s">
        <v>591</v>
      </c>
      <c r="E287" s="1" t="s">
        <v>594</v>
      </c>
      <c r="F287" s="3">
        <v>102</v>
      </c>
      <c r="G287" s="4">
        <v>70000</v>
      </c>
      <c r="H287" s="5">
        <v>74</v>
      </c>
      <c r="I287" s="6">
        <v>45675</v>
      </c>
      <c r="J287" s="2" t="s">
        <v>598</v>
      </c>
      <c r="K287" s="15">
        <f>PRODUCT(Table25[[#This Row],[Ticket Price]],Table25[[#This Row],[Passenger Count]])</f>
        <v>5180000</v>
      </c>
      <c r="L287" s="15">
        <f>Table25[[#This Row],[Revenue]]*(1-$O$2)</f>
        <v>4662000</v>
      </c>
    </row>
    <row r="288" spans="1:12" x14ac:dyDescent="0.35">
      <c r="A288" t="s">
        <v>283</v>
      </c>
      <c r="B288" t="s">
        <v>353</v>
      </c>
      <c r="C288" t="s">
        <v>581</v>
      </c>
      <c r="D288" s="2" t="s">
        <v>584</v>
      </c>
      <c r="E288" s="1" t="s">
        <v>592</v>
      </c>
      <c r="F288" s="3">
        <v>106</v>
      </c>
      <c r="G288" s="4">
        <v>50000</v>
      </c>
      <c r="H288" s="5">
        <v>97</v>
      </c>
      <c r="I288" s="6">
        <v>45713</v>
      </c>
      <c r="J288" s="2" t="s">
        <v>598</v>
      </c>
      <c r="K288" s="15">
        <f>PRODUCT(Table25[[#This Row],[Ticket Price]],Table25[[#This Row],[Passenger Count]])</f>
        <v>4850000</v>
      </c>
      <c r="L288" s="15">
        <f>Table25[[#This Row],[Revenue]]*(1-$O$2)</f>
        <v>4365000</v>
      </c>
    </row>
    <row r="289" spans="1:12" x14ac:dyDescent="0.35">
      <c r="A289" t="s">
        <v>284</v>
      </c>
      <c r="B289" t="s">
        <v>553</v>
      </c>
      <c r="C289" t="s">
        <v>583</v>
      </c>
      <c r="D289" s="2" t="s">
        <v>587</v>
      </c>
      <c r="E289" s="1" t="s">
        <v>596</v>
      </c>
      <c r="F289" s="3">
        <v>25</v>
      </c>
      <c r="G289" s="4">
        <v>120000</v>
      </c>
      <c r="H289" s="5">
        <v>132</v>
      </c>
      <c r="I289" s="6">
        <v>45834</v>
      </c>
      <c r="J289" s="2" t="s">
        <v>598</v>
      </c>
      <c r="K289" s="15">
        <f>PRODUCT(Table25[[#This Row],[Ticket Price]],Table25[[#This Row],[Passenger Count]])</f>
        <v>15840000</v>
      </c>
      <c r="L289" s="15">
        <f>Table25[[#This Row],[Revenue]]*(1-$O$2)</f>
        <v>14256000</v>
      </c>
    </row>
    <row r="290" spans="1:12" x14ac:dyDescent="0.35">
      <c r="A290" t="s">
        <v>285</v>
      </c>
      <c r="B290" t="s">
        <v>554</v>
      </c>
      <c r="C290" t="s">
        <v>583</v>
      </c>
      <c r="D290" s="2" t="s">
        <v>587</v>
      </c>
      <c r="E290" s="1" t="s">
        <v>596</v>
      </c>
      <c r="F290" s="3">
        <v>90</v>
      </c>
      <c r="G290" s="4">
        <v>35000</v>
      </c>
      <c r="H290" s="5">
        <v>79</v>
      </c>
      <c r="I290" s="6">
        <v>45662</v>
      </c>
      <c r="J290" s="2" t="s">
        <v>597</v>
      </c>
      <c r="K290" s="15">
        <f>PRODUCT(Table25[[#This Row],[Ticket Price]],Table25[[#This Row],[Passenger Count]])</f>
        <v>2765000</v>
      </c>
      <c r="L290" s="15">
        <f>Table25[[#This Row],[Revenue]]*(1-$O$2)</f>
        <v>2488500</v>
      </c>
    </row>
    <row r="291" spans="1:12" x14ac:dyDescent="0.35">
      <c r="A291" t="s">
        <v>286</v>
      </c>
      <c r="B291" t="s">
        <v>555</v>
      </c>
      <c r="C291" t="s">
        <v>581</v>
      </c>
      <c r="D291" s="2" t="s">
        <v>584</v>
      </c>
      <c r="E291" s="1" t="s">
        <v>593</v>
      </c>
      <c r="F291" s="3">
        <v>54</v>
      </c>
      <c r="G291" s="4">
        <v>125000</v>
      </c>
      <c r="H291" s="5">
        <v>128</v>
      </c>
      <c r="I291" s="6">
        <v>45696</v>
      </c>
      <c r="J291" s="2" t="s">
        <v>597</v>
      </c>
      <c r="K291" s="15">
        <f>PRODUCT(Table25[[#This Row],[Ticket Price]],Table25[[#This Row],[Passenger Count]])</f>
        <v>16000000</v>
      </c>
      <c r="L291" s="15">
        <f>Table25[[#This Row],[Revenue]]*(1-$O$2)</f>
        <v>14400000</v>
      </c>
    </row>
    <row r="292" spans="1:12" x14ac:dyDescent="0.35">
      <c r="A292" t="s">
        <v>287</v>
      </c>
      <c r="B292" t="s">
        <v>468</v>
      </c>
      <c r="C292" t="s">
        <v>581</v>
      </c>
      <c r="D292" s="2" t="s">
        <v>583</v>
      </c>
      <c r="E292" s="1" t="s">
        <v>594</v>
      </c>
      <c r="F292" s="3">
        <v>29</v>
      </c>
      <c r="G292" s="4">
        <v>100000</v>
      </c>
      <c r="H292" s="5">
        <v>100</v>
      </c>
      <c r="I292" s="6">
        <v>45818</v>
      </c>
      <c r="J292" s="2" t="s">
        <v>597</v>
      </c>
      <c r="K292" s="15">
        <f>PRODUCT(Table25[[#This Row],[Ticket Price]],Table25[[#This Row],[Passenger Count]])</f>
        <v>10000000</v>
      </c>
      <c r="L292" s="15">
        <f>Table25[[#This Row],[Revenue]]*(1-$O$2)</f>
        <v>9000000</v>
      </c>
    </row>
    <row r="293" spans="1:12" x14ac:dyDescent="0.35">
      <c r="A293" t="s">
        <v>288</v>
      </c>
      <c r="B293" t="s">
        <v>461</v>
      </c>
      <c r="C293" t="s">
        <v>585</v>
      </c>
      <c r="D293" s="2" t="s">
        <v>590</v>
      </c>
      <c r="E293" s="1" t="s">
        <v>594</v>
      </c>
      <c r="F293" s="3">
        <v>64</v>
      </c>
      <c r="G293" s="4">
        <v>55000</v>
      </c>
      <c r="H293" s="5">
        <v>128</v>
      </c>
      <c r="I293" s="6">
        <v>45781</v>
      </c>
      <c r="J293" s="2" t="s">
        <v>597</v>
      </c>
      <c r="K293" s="15">
        <f>PRODUCT(Table25[[#This Row],[Ticket Price]],Table25[[#This Row],[Passenger Count]])</f>
        <v>7040000</v>
      </c>
      <c r="L293" s="15">
        <f>Table25[[#This Row],[Revenue]]*(1-$O$2)</f>
        <v>6336000</v>
      </c>
    </row>
    <row r="294" spans="1:12" x14ac:dyDescent="0.35">
      <c r="A294" t="s">
        <v>289</v>
      </c>
      <c r="B294" t="s">
        <v>556</v>
      </c>
      <c r="C294" t="s">
        <v>586</v>
      </c>
      <c r="D294" s="2" t="s">
        <v>582</v>
      </c>
      <c r="E294" s="1" t="s">
        <v>594</v>
      </c>
      <c r="F294" s="3">
        <v>66</v>
      </c>
      <c r="G294" s="4">
        <v>110000</v>
      </c>
      <c r="H294" s="5">
        <v>161</v>
      </c>
      <c r="I294" s="6">
        <v>45737</v>
      </c>
      <c r="J294" s="2" t="s">
        <v>597</v>
      </c>
      <c r="K294" s="15">
        <f>PRODUCT(Table25[[#This Row],[Ticket Price]],Table25[[#This Row],[Passenger Count]])</f>
        <v>17710000</v>
      </c>
      <c r="L294" s="15">
        <f>Table25[[#This Row],[Revenue]]*(1-$O$2)</f>
        <v>15939000</v>
      </c>
    </row>
    <row r="295" spans="1:12" x14ac:dyDescent="0.35">
      <c r="A295" t="s">
        <v>290</v>
      </c>
      <c r="B295" t="s">
        <v>557</v>
      </c>
      <c r="C295" t="s">
        <v>585</v>
      </c>
      <c r="D295" s="2" t="s">
        <v>584</v>
      </c>
      <c r="E295" s="1" t="s">
        <v>593</v>
      </c>
      <c r="F295" s="3">
        <v>21</v>
      </c>
      <c r="G295" s="4">
        <v>90000</v>
      </c>
      <c r="H295" s="5">
        <v>126</v>
      </c>
      <c r="I295" s="6">
        <v>45833</v>
      </c>
      <c r="J295" s="2" t="s">
        <v>598</v>
      </c>
      <c r="K295" s="15">
        <f>PRODUCT(Table25[[#This Row],[Ticket Price]],Table25[[#This Row],[Passenger Count]])</f>
        <v>11340000</v>
      </c>
      <c r="L295" s="15">
        <f>Table25[[#This Row],[Revenue]]*(1-$O$2)</f>
        <v>10206000</v>
      </c>
    </row>
    <row r="296" spans="1:12" x14ac:dyDescent="0.35">
      <c r="A296" t="s">
        <v>291</v>
      </c>
      <c r="B296" t="s">
        <v>558</v>
      </c>
      <c r="C296" t="s">
        <v>584</v>
      </c>
      <c r="D296" s="2" t="s">
        <v>583</v>
      </c>
      <c r="E296" s="1" t="s">
        <v>596</v>
      </c>
      <c r="F296" s="3">
        <v>132</v>
      </c>
      <c r="G296" s="4">
        <v>115000</v>
      </c>
      <c r="H296" s="5">
        <v>170</v>
      </c>
      <c r="I296" s="6">
        <v>45798</v>
      </c>
      <c r="J296" s="2" t="s">
        <v>598</v>
      </c>
      <c r="K296" s="15">
        <f>PRODUCT(Table25[[#This Row],[Ticket Price]],Table25[[#This Row],[Passenger Count]])</f>
        <v>19550000</v>
      </c>
      <c r="L296" s="15">
        <f>Table25[[#This Row],[Revenue]]*(1-$O$2)</f>
        <v>17595000</v>
      </c>
    </row>
    <row r="297" spans="1:12" x14ac:dyDescent="0.35">
      <c r="A297" t="s">
        <v>292</v>
      </c>
      <c r="B297" t="s">
        <v>434</v>
      </c>
      <c r="C297" t="s">
        <v>587</v>
      </c>
      <c r="D297" s="2" t="s">
        <v>585</v>
      </c>
      <c r="E297" s="1" t="s">
        <v>592</v>
      </c>
      <c r="F297" s="3">
        <v>177</v>
      </c>
      <c r="G297" s="4">
        <v>30000</v>
      </c>
      <c r="H297" s="5">
        <v>168</v>
      </c>
      <c r="I297" s="6">
        <v>45724</v>
      </c>
      <c r="J297" s="2" t="s">
        <v>598</v>
      </c>
      <c r="K297" s="15">
        <f>PRODUCT(Table25[[#This Row],[Ticket Price]],Table25[[#This Row],[Passenger Count]])</f>
        <v>5040000</v>
      </c>
      <c r="L297" s="15">
        <f>Table25[[#This Row],[Revenue]]*(1-$O$2)</f>
        <v>4536000</v>
      </c>
    </row>
    <row r="298" spans="1:12" x14ac:dyDescent="0.35">
      <c r="A298" t="s">
        <v>293</v>
      </c>
      <c r="B298" t="s">
        <v>362</v>
      </c>
      <c r="C298" t="s">
        <v>587</v>
      </c>
      <c r="D298" s="2" t="s">
        <v>582</v>
      </c>
      <c r="E298" s="1" t="s">
        <v>593</v>
      </c>
      <c r="F298" s="3">
        <v>-3</v>
      </c>
      <c r="G298" s="4">
        <v>65000</v>
      </c>
      <c r="H298" s="5">
        <v>170</v>
      </c>
      <c r="I298" s="6">
        <v>45713</v>
      </c>
      <c r="J298" s="2" t="s">
        <v>597</v>
      </c>
      <c r="K298" s="15">
        <f>PRODUCT(Table25[[#This Row],[Ticket Price]],Table25[[#This Row],[Passenger Count]])</f>
        <v>11050000</v>
      </c>
      <c r="L298" s="15">
        <f>Table25[[#This Row],[Revenue]]*(1-$O$2)</f>
        <v>9945000</v>
      </c>
    </row>
    <row r="299" spans="1:12" x14ac:dyDescent="0.35">
      <c r="A299" t="s">
        <v>294</v>
      </c>
      <c r="B299" t="s">
        <v>559</v>
      </c>
      <c r="C299" t="s">
        <v>586</v>
      </c>
      <c r="D299" s="2" t="s">
        <v>589</v>
      </c>
      <c r="E299" s="1" t="s">
        <v>594</v>
      </c>
      <c r="F299" s="3">
        <v>51</v>
      </c>
      <c r="G299" s="4">
        <v>60000</v>
      </c>
      <c r="H299" s="5">
        <v>84</v>
      </c>
      <c r="I299" s="6">
        <v>45735</v>
      </c>
      <c r="J299" s="2" t="s">
        <v>598</v>
      </c>
      <c r="K299" s="15">
        <f>PRODUCT(Table25[[#This Row],[Ticket Price]],Table25[[#This Row],[Passenger Count]])</f>
        <v>5040000</v>
      </c>
      <c r="L299" s="15">
        <f>Table25[[#This Row],[Revenue]]*(1-$O$2)</f>
        <v>4536000</v>
      </c>
    </row>
    <row r="300" spans="1:12" x14ac:dyDescent="0.35">
      <c r="A300" t="s">
        <v>295</v>
      </c>
      <c r="B300" t="s">
        <v>358</v>
      </c>
      <c r="C300" t="s">
        <v>584</v>
      </c>
      <c r="D300" s="2" t="s">
        <v>591</v>
      </c>
      <c r="E300" s="1" t="s">
        <v>594</v>
      </c>
      <c r="F300" s="3">
        <v>138</v>
      </c>
      <c r="G300" s="4">
        <v>35000</v>
      </c>
      <c r="H300" s="5">
        <v>135</v>
      </c>
      <c r="I300" s="6">
        <v>45833</v>
      </c>
      <c r="J300" s="2" t="s">
        <v>597</v>
      </c>
      <c r="K300" s="15">
        <f>PRODUCT(Table25[[#This Row],[Ticket Price]],Table25[[#This Row],[Passenger Count]])</f>
        <v>4725000</v>
      </c>
      <c r="L300" s="15">
        <f>Table25[[#This Row],[Revenue]]*(1-$O$2)</f>
        <v>4252500</v>
      </c>
    </row>
    <row r="301" spans="1:12" x14ac:dyDescent="0.35">
      <c r="A301" t="s">
        <v>296</v>
      </c>
      <c r="B301" t="s">
        <v>560</v>
      </c>
      <c r="C301" t="s">
        <v>585</v>
      </c>
      <c r="D301" s="2" t="s">
        <v>591</v>
      </c>
      <c r="E301" s="1" t="s">
        <v>592</v>
      </c>
      <c r="F301" s="3">
        <v>22</v>
      </c>
      <c r="G301" s="4">
        <v>100000</v>
      </c>
      <c r="H301" s="5">
        <v>117</v>
      </c>
      <c r="I301" s="6">
        <v>45776</v>
      </c>
      <c r="J301" s="2" t="s">
        <v>597</v>
      </c>
      <c r="K301" s="15">
        <f>PRODUCT(Table25[[#This Row],[Ticket Price]],Table25[[#This Row],[Passenger Count]])</f>
        <v>11700000</v>
      </c>
      <c r="L301" s="15">
        <f>Table25[[#This Row],[Revenue]]*(1-$O$2)</f>
        <v>10530000</v>
      </c>
    </row>
    <row r="302" spans="1:12" x14ac:dyDescent="0.35">
      <c r="A302" t="s">
        <v>297</v>
      </c>
      <c r="B302" t="s">
        <v>425</v>
      </c>
      <c r="C302" t="s">
        <v>583</v>
      </c>
      <c r="D302" s="2" t="s">
        <v>591</v>
      </c>
      <c r="E302" s="1" t="s">
        <v>595</v>
      </c>
      <c r="F302" s="3">
        <v>126</v>
      </c>
      <c r="G302" s="4">
        <v>75000</v>
      </c>
      <c r="H302" s="5">
        <v>83</v>
      </c>
      <c r="I302" s="6">
        <v>45696</v>
      </c>
      <c r="J302" s="2" t="s">
        <v>597</v>
      </c>
      <c r="K302" s="15">
        <f>PRODUCT(Table25[[#This Row],[Ticket Price]],Table25[[#This Row],[Passenger Count]])</f>
        <v>6225000</v>
      </c>
      <c r="L302" s="15">
        <f>Table25[[#This Row],[Revenue]]*(1-$O$2)</f>
        <v>5602500</v>
      </c>
    </row>
    <row r="303" spans="1:12" x14ac:dyDescent="0.35">
      <c r="A303" t="s">
        <v>298</v>
      </c>
      <c r="B303" t="s">
        <v>561</v>
      </c>
      <c r="C303" t="s">
        <v>584</v>
      </c>
      <c r="D303" s="2" t="s">
        <v>583</v>
      </c>
      <c r="E303" s="1" t="s">
        <v>592</v>
      </c>
      <c r="F303" s="3">
        <v>74</v>
      </c>
      <c r="G303" s="4">
        <v>55000</v>
      </c>
      <c r="H303" s="5">
        <v>156</v>
      </c>
      <c r="I303" s="6">
        <v>45773</v>
      </c>
      <c r="J303" s="2" t="s">
        <v>597</v>
      </c>
      <c r="K303" s="15">
        <f>PRODUCT(Table25[[#This Row],[Ticket Price]],Table25[[#This Row],[Passenger Count]])</f>
        <v>8580000</v>
      </c>
      <c r="L303" s="15">
        <f>Table25[[#This Row],[Revenue]]*(1-$O$2)</f>
        <v>7722000</v>
      </c>
    </row>
    <row r="304" spans="1:12" x14ac:dyDescent="0.35">
      <c r="A304" t="s">
        <v>299</v>
      </c>
      <c r="B304" t="s">
        <v>562</v>
      </c>
      <c r="C304" t="s">
        <v>587</v>
      </c>
      <c r="D304" s="2" t="s">
        <v>590</v>
      </c>
      <c r="E304" s="1" t="s">
        <v>596</v>
      </c>
      <c r="F304" s="3">
        <v>56</v>
      </c>
      <c r="G304" s="4">
        <v>145000</v>
      </c>
      <c r="H304" s="5">
        <v>133</v>
      </c>
      <c r="I304" s="6">
        <v>45824</v>
      </c>
      <c r="J304" s="2" t="s">
        <v>598</v>
      </c>
      <c r="K304" s="15">
        <f>PRODUCT(Table25[[#This Row],[Ticket Price]],Table25[[#This Row],[Passenger Count]])</f>
        <v>19285000</v>
      </c>
      <c r="L304" s="15">
        <f>Table25[[#This Row],[Revenue]]*(1-$O$2)</f>
        <v>17356500</v>
      </c>
    </row>
    <row r="305" spans="1:12" x14ac:dyDescent="0.35">
      <c r="A305" t="s">
        <v>300</v>
      </c>
      <c r="B305" t="s">
        <v>468</v>
      </c>
      <c r="C305" t="s">
        <v>587</v>
      </c>
      <c r="D305" s="2" t="s">
        <v>589</v>
      </c>
      <c r="E305" s="1" t="s">
        <v>594</v>
      </c>
      <c r="F305" s="3">
        <v>138</v>
      </c>
      <c r="G305" s="4">
        <v>90000</v>
      </c>
      <c r="H305" s="5">
        <v>144</v>
      </c>
      <c r="I305" s="6">
        <v>45675</v>
      </c>
      <c r="J305" s="2" t="s">
        <v>598</v>
      </c>
      <c r="K305" s="15">
        <f>PRODUCT(Table25[[#This Row],[Ticket Price]],Table25[[#This Row],[Passenger Count]])</f>
        <v>12960000</v>
      </c>
      <c r="L305" s="15">
        <f>Table25[[#This Row],[Revenue]]*(1-$O$2)</f>
        <v>11664000</v>
      </c>
    </row>
    <row r="306" spans="1:12" x14ac:dyDescent="0.35">
      <c r="A306" t="s">
        <v>301</v>
      </c>
      <c r="B306" t="s">
        <v>436</v>
      </c>
      <c r="C306" t="s">
        <v>586</v>
      </c>
      <c r="D306" s="2" t="s">
        <v>590</v>
      </c>
      <c r="E306" s="1" t="s">
        <v>595</v>
      </c>
      <c r="F306" s="3">
        <v>81</v>
      </c>
      <c r="G306" s="4">
        <v>125000</v>
      </c>
      <c r="H306" s="5">
        <v>129</v>
      </c>
      <c r="I306" s="6">
        <v>45767</v>
      </c>
      <c r="J306" s="2" t="s">
        <v>597</v>
      </c>
      <c r="K306" s="15">
        <f>PRODUCT(Table25[[#This Row],[Ticket Price]],Table25[[#This Row],[Passenger Count]])</f>
        <v>16125000</v>
      </c>
      <c r="L306" s="15">
        <f>Table25[[#This Row],[Revenue]]*(1-$O$2)</f>
        <v>14512500</v>
      </c>
    </row>
    <row r="307" spans="1:12" x14ac:dyDescent="0.35">
      <c r="A307" t="s">
        <v>302</v>
      </c>
      <c r="B307" t="s">
        <v>563</v>
      </c>
      <c r="C307" t="s">
        <v>587</v>
      </c>
      <c r="D307" s="2" t="s">
        <v>584</v>
      </c>
      <c r="E307" s="1" t="s">
        <v>593</v>
      </c>
      <c r="F307" s="3">
        <v>103</v>
      </c>
      <c r="G307" s="4">
        <v>150000</v>
      </c>
      <c r="H307" s="5">
        <v>126</v>
      </c>
      <c r="I307" s="6">
        <v>45735</v>
      </c>
      <c r="J307" s="2" t="s">
        <v>598</v>
      </c>
      <c r="K307" s="15">
        <f>PRODUCT(Table25[[#This Row],[Ticket Price]],Table25[[#This Row],[Passenger Count]])</f>
        <v>18900000</v>
      </c>
      <c r="L307" s="15">
        <f>Table25[[#This Row],[Revenue]]*(1-$O$2)</f>
        <v>17010000</v>
      </c>
    </row>
    <row r="308" spans="1:12" x14ac:dyDescent="0.35">
      <c r="A308" t="s">
        <v>303</v>
      </c>
      <c r="B308" t="s">
        <v>564</v>
      </c>
      <c r="C308" t="s">
        <v>587</v>
      </c>
      <c r="D308" s="2" t="s">
        <v>585</v>
      </c>
      <c r="E308" s="1" t="s">
        <v>596</v>
      </c>
      <c r="F308" s="3">
        <v>175</v>
      </c>
      <c r="G308" s="4">
        <v>140000</v>
      </c>
      <c r="H308" s="5">
        <v>70</v>
      </c>
      <c r="I308" s="6">
        <v>45811</v>
      </c>
      <c r="J308" s="2" t="s">
        <v>598</v>
      </c>
      <c r="K308" s="15">
        <f>PRODUCT(Table25[[#This Row],[Ticket Price]],Table25[[#This Row],[Passenger Count]])</f>
        <v>9800000</v>
      </c>
      <c r="L308" s="15">
        <f>Table25[[#This Row],[Revenue]]*(1-$O$2)</f>
        <v>8820000</v>
      </c>
    </row>
    <row r="309" spans="1:12" x14ac:dyDescent="0.35">
      <c r="A309" t="s">
        <v>304</v>
      </c>
      <c r="B309" t="s">
        <v>540</v>
      </c>
      <c r="C309" t="s">
        <v>584</v>
      </c>
      <c r="D309" s="2" t="s">
        <v>589</v>
      </c>
      <c r="E309" s="1" t="s">
        <v>593</v>
      </c>
      <c r="F309" s="3">
        <v>133</v>
      </c>
      <c r="G309" s="4">
        <v>115000</v>
      </c>
      <c r="H309" s="5">
        <v>107</v>
      </c>
      <c r="I309" s="6">
        <v>45820</v>
      </c>
      <c r="J309" s="2" t="s">
        <v>598</v>
      </c>
      <c r="K309" s="15">
        <f>PRODUCT(Table25[[#This Row],[Ticket Price]],Table25[[#This Row],[Passenger Count]])</f>
        <v>12305000</v>
      </c>
      <c r="L309" s="15">
        <f>Table25[[#This Row],[Revenue]]*(1-$O$2)</f>
        <v>11074500</v>
      </c>
    </row>
    <row r="310" spans="1:12" x14ac:dyDescent="0.35">
      <c r="A310" t="s">
        <v>305</v>
      </c>
      <c r="B310" t="s">
        <v>565</v>
      </c>
      <c r="C310" t="s">
        <v>583</v>
      </c>
      <c r="D310" s="2" t="s">
        <v>590</v>
      </c>
      <c r="E310" s="1" t="s">
        <v>594</v>
      </c>
      <c r="F310" s="3">
        <v>176</v>
      </c>
      <c r="G310" s="4">
        <v>110000</v>
      </c>
      <c r="H310" s="5">
        <v>114</v>
      </c>
      <c r="I310" s="6">
        <v>45829</v>
      </c>
      <c r="J310" s="2" t="s">
        <v>598</v>
      </c>
      <c r="K310" s="15">
        <f>PRODUCT(Table25[[#This Row],[Ticket Price]],Table25[[#This Row],[Passenger Count]])</f>
        <v>12540000</v>
      </c>
      <c r="L310" s="15">
        <f>Table25[[#This Row],[Revenue]]*(1-$O$2)</f>
        <v>11286000</v>
      </c>
    </row>
    <row r="311" spans="1:12" x14ac:dyDescent="0.35">
      <c r="A311" t="s">
        <v>306</v>
      </c>
      <c r="B311" t="s">
        <v>428</v>
      </c>
      <c r="C311" t="s">
        <v>587</v>
      </c>
      <c r="D311" s="2" t="s">
        <v>583</v>
      </c>
      <c r="E311" s="1" t="s">
        <v>595</v>
      </c>
      <c r="F311" s="3">
        <v>147</v>
      </c>
      <c r="G311" s="4">
        <v>60000</v>
      </c>
      <c r="H311" s="5">
        <v>83</v>
      </c>
      <c r="I311" s="6">
        <v>45690</v>
      </c>
      <c r="J311" s="2" t="s">
        <v>597</v>
      </c>
      <c r="K311" s="15">
        <f>PRODUCT(Table25[[#This Row],[Ticket Price]],Table25[[#This Row],[Passenger Count]])</f>
        <v>4980000</v>
      </c>
      <c r="L311" s="15">
        <f>Table25[[#This Row],[Revenue]]*(1-$O$2)</f>
        <v>4482000</v>
      </c>
    </row>
    <row r="312" spans="1:12" x14ac:dyDescent="0.35">
      <c r="A312" t="s">
        <v>307</v>
      </c>
      <c r="B312" t="s">
        <v>439</v>
      </c>
      <c r="C312" t="s">
        <v>588</v>
      </c>
      <c r="D312" s="2" t="s">
        <v>583</v>
      </c>
      <c r="E312" s="1" t="s">
        <v>593</v>
      </c>
      <c r="F312" s="3">
        <v>123</v>
      </c>
      <c r="G312" s="4">
        <v>60000</v>
      </c>
      <c r="H312" s="5">
        <v>171</v>
      </c>
      <c r="I312" s="6">
        <v>45731</v>
      </c>
      <c r="J312" s="2" t="s">
        <v>597</v>
      </c>
      <c r="K312" s="15">
        <f>PRODUCT(Table25[[#This Row],[Ticket Price]],Table25[[#This Row],[Passenger Count]])</f>
        <v>10260000</v>
      </c>
      <c r="L312" s="15">
        <f>Table25[[#This Row],[Revenue]]*(1-$O$2)</f>
        <v>9234000</v>
      </c>
    </row>
    <row r="313" spans="1:12" x14ac:dyDescent="0.35">
      <c r="A313" t="s">
        <v>308</v>
      </c>
      <c r="B313" t="s">
        <v>465</v>
      </c>
      <c r="C313" t="s">
        <v>583</v>
      </c>
      <c r="D313" s="2" t="s">
        <v>585</v>
      </c>
      <c r="E313" s="1" t="s">
        <v>593</v>
      </c>
      <c r="F313" s="3">
        <v>102</v>
      </c>
      <c r="G313" s="4">
        <v>115000</v>
      </c>
      <c r="H313" s="5">
        <v>92</v>
      </c>
      <c r="I313" s="6">
        <v>45669</v>
      </c>
      <c r="J313" s="2" t="s">
        <v>597</v>
      </c>
      <c r="K313" s="15">
        <f>PRODUCT(Table25[[#This Row],[Ticket Price]],Table25[[#This Row],[Passenger Count]])</f>
        <v>10580000</v>
      </c>
      <c r="L313" s="15">
        <f>Table25[[#This Row],[Revenue]]*(1-$O$2)</f>
        <v>9522000</v>
      </c>
    </row>
    <row r="314" spans="1:12" x14ac:dyDescent="0.35">
      <c r="A314" t="s">
        <v>309</v>
      </c>
      <c r="B314" t="s">
        <v>482</v>
      </c>
      <c r="C314" t="s">
        <v>583</v>
      </c>
      <c r="D314" s="2" t="s">
        <v>582</v>
      </c>
      <c r="E314" s="1" t="s">
        <v>596</v>
      </c>
      <c r="F314" s="3">
        <v>47</v>
      </c>
      <c r="G314" s="4">
        <v>85000</v>
      </c>
      <c r="H314" s="5">
        <v>156</v>
      </c>
      <c r="I314" s="6">
        <v>45726</v>
      </c>
      <c r="J314" s="2" t="s">
        <v>597</v>
      </c>
      <c r="K314" s="15">
        <f>PRODUCT(Table25[[#This Row],[Ticket Price]],Table25[[#This Row],[Passenger Count]])</f>
        <v>13260000</v>
      </c>
      <c r="L314" s="15">
        <f>Table25[[#This Row],[Revenue]]*(1-$O$2)</f>
        <v>11934000</v>
      </c>
    </row>
    <row r="315" spans="1:12" x14ac:dyDescent="0.35">
      <c r="A315" t="s">
        <v>310</v>
      </c>
      <c r="B315" t="s">
        <v>415</v>
      </c>
      <c r="C315" t="s">
        <v>583</v>
      </c>
      <c r="D315" s="2" t="s">
        <v>587</v>
      </c>
      <c r="E315" s="1" t="s">
        <v>596</v>
      </c>
      <c r="F315" s="3">
        <v>82</v>
      </c>
      <c r="G315" s="4">
        <v>130000</v>
      </c>
      <c r="H315" s="5">
        <v>178</v>
      </c>
      <c r="I315" s="6">
        <v>45658</v>
      </c>
      <c r="J315" s="2" t="s">
        <v>597</v>
      </c>
      <c r="K315" s="15">
        <f>PRODUCT(Table25[[#This Row],[Ticket Price]],Table25[[#This Row],[Passenger Count]])</f>
        <v>23140000</v>
      </c>
      <c r="L315" s="15">
        <f>Table25[[#This Row],[Revenue]]*(1-$O$2)</f>
        <v>20826000</v>
      </c>
    </row>
    <row r="316" spans="1:12" x14ac:dyDescent="0.35">
      <c r="A316" t="s">
        <v>311</v>
      </c>
      <c r="B316" t="s">
        <v>566</v>
      </c>
      <c r="C316" t="s">
        <v>585</v>
      </c>
      <c r="D316" s="2" t="s">
        <v>584</v>
      </c>
      <c r="E316" s="1" t="s">
        <v>595</v>
      </c>
      <c r="F316" s="3">
        <v>141</v>
      </c>
      <c r="G316" s="4">
        <v>35000</v>
      </c>
      <c r="H316" s="5">
        <v>134</v>
      </c>
      <c r="I316" s="6">
        <v>45777</v>
      </c>
      <c r="J316" s="2" t="s">
        <v>597</v>
      </c>
      <c r="K316" s="15">
        <f>PRODUCT(Table25[[#This Row],[Ticket Price]],Table25[[#This Row],[Passenger Count]])</f>
        <v>4690000</v>
      </c>
      <c r="L316" s="15">
        <f>Table25[[#This Row],[Revenue]]*(1-$O$2)</f>
        <v>4221000</v>
      </c>
    </row>
    <row r="317" spans="1:12" x14ac:dyDescent="0.35">
      <c r="A317" t="s">
        <v>312</v>
      </c>
      <c r="B317" t="s">
        <v>403</v>
      </c>
      <c r="C317" t="s">
        <v>585</v>
      </c>
      <c r="D317" s="2" t="s">
        <v>591</v>
      </c>
      <c r="E317" s="1" t="s">
        <v>592</v>
      </c>
      <c r="F317" s="3">
        <v>152</v>
      </c>
      <c r="G317" s="4">
        <v>30000</v>
      </c>
      <c r="H317" s="5">
        <v>176</v>
      </c>
      <c r="I317" s="6">
        <v>45759</v>
      </c>
      <c r="J317" s="2" t="s">
        <v>597</v>
      </c>
      <c r="K317" s="15">
        <f>PRODUCT(Table25[[#This Row],[Ticket Price]],Table25[[#This Row],[Passenger Count]])</f>
        <v>5280000</v>
      </c>
      <c r="L317" s="15">
        <f>Table25[[#This Row],[Revenue]]*(1-$O$2)</f>
        <v>4752000</v>
      </c>
    </row>
    <row r="318" spans="1:12" x14ac:dyDescent="0.35">
      <c r="A318" t="s">
        <v>313</v>
      </c>
      <c r="B318" t="s">
        <v>567</v>
      </c>
      <c r="C318" t="s">
        <v>585</v>
      </c>
      <c r="D318" s="2" t="s">
        <v>582</v>
      </c>
      <c r="E318" s="1" t="s">
        <v>594</v>
      </c>
      <c r="F318" s="3">
        <v>89</v>
      </c>
      <c r="G318" s="4">
        <v>70000</v>
      </c>
      <c r="H318" s="5">
        <v>99</v>
      </c>
      <c r="I318" s="6">
        <v>45786</v>
      </c>
      <c r="J318" s="2" t="s">
        <v>597</v>
      </c>
      <c r="K318" s="15">
        <f>PRODUCT(Table25[[#This Row],[Ticket Price]],Table25[[#This Row],[Passenger Count]])</f>
        <v>6930000</v>
      </c>
      <c r="L318" s="15">
        <f>Table25[[#This Row],[Revenue]]*(1-$O$2)</f>
        <v>6237000</v>
      </c>
    </row>
    <row r="319" spans="1:12" x14ac:dyDescent="0.35">
      <c r="A319" t="s">
        <v>314</v>
      </c>
      <c r="B319" t="s">
        <v>568</v>
      </c>
      <c r="C319" t="s">
        <v>585</v>
      </c>
      <c r="D319" s="2" t="s">
        <v>582</v>
      </c>
      <c r="E319" s="1" t="s">
        <v>593</v>
      </c>
      <c r="F319" s="3">
        <v>16</v>
      </c>
      <c r="G319" s="4">
        <v>25000</v>
      </c>
      <c r="H319" s="5">
        <v>139</v>
      </c>
      <c r="I319" s="6">
        <v>45834</v>
      </c>
      <c r="J319" s="2" t="s">
        <v>598</v>
      </c>
      <c r="K319" s="15">
        <f>PRODUCT(Table25[[#This Row],[Ticket Price]],Table25[[#This Row],[Passenger Count]])</f>
        <v>3475000</v>
      </c>
      <c r="L319" s="15">
        <f>Table25[[#This Row],[Revenue]]*(1-$O$2)</f>
        <v>3127500</v>
      </c>
    </row>
    <row r="320" spans="1:12" x14ac:dyDescent="0.35">
      <c r="A320" t="s">
        <v>315</v>
      </c>
      <c r="B320" t="s">
        <v>455</v>
      </c>
      <c r="C320" t="s">
        <v>587</v>
      </c>
      <c r="D320" s="2" t="s">
        <v>590</v>
      </c>
      <c r="E320" s="1" t="s">
        <v>593</v>
      </c>
      <c r="F320" s="3">
        <v>32</v>
      </c>
      <c r="G320" s="4">
        <v>130000</v>
      </c>
      <c r="H320" s="5">
        <v>69</v>
      </c>
      <c r="I320" s="6">
        <v>45734</v>
      </c>
      <c r="J320" s="2" t="s">
        <v>598</v>
      </c>
      <c r="K320" s="15">
        <f>PRODUCT(Table25[[#This Row],[Ticket Price]],Table25[[#This Row],[Passenger Count]])</f>
        <v>8970000</v>
      </c>
      <c r="L320" s="15">
        <f>Table25[[#This Row],[Revenue]]*(1-$O$2)</f>
        <v>8073000</v>
      </c>
    </row>
    <row r="321" spans="1:12" x14ac:dyDescent="0.35">
      <c r="A321" t="s">
        <v>316</v>
      </c>
      <c r="B321" t="s">
        <v>512</v>
      </c>
      <c r="C321" t="s">
        <v>587</v>
      </c>
      <c r="D321" s="2" t="s">
        <v>585</v>
      </c>
      <c r="E321" s="1" t="s">
        <v>594</v>
      </c>
      <c r="F321" s="3">
        <v>28</v>
      </c>
      <c r="G321" s="4">
        <v>130000</v>
      </c>
      <c r="H321" s="5">
        <v>178</v>
      </c>
      <c r="I321" s="6">
        <v>45689</v>
      </c>
      <c r="J321" s="2" t="s">
        <v>598</v>
      </c>
      <c r="K321" s="15">
        <f>PRODUCT(Table25[[#This Row],[Ticket Price]],Table25[[#This Row],[Passenger Count]])</f>
        <v>23140000</v>
      </c>
      <c r="L321" s="15">
        <f>Table25[[#This Row],[Revenue]]*(1-$O$2)</f>
        <v>20826000</v>
      </c>
    </row>
    <row r="322" spans="1:12" x14ac:dyDescent="0.35">
      <c r="A322" t="s">
        <v>317</v>
      </c>
      <c r="B322" t="s">
        <v>381</v>
      </c>
      <c r="C322" t="s">
        <v>582</v>
      </c>
      <c r="D322" s="2" t="s">
        <v>589</v>
      </c>
      <c r="E322" s="1" t="s">
        <v>596</v>
      </c>
      <c r="F322" s="3">
        <v>25</v>
      </c>
      <c r="G322" s="4">
        <v>120000</v>
      </c>
      <c r="H322" s="5">
        <v>111</v>
      </c>
      <c r="I322" s="6">
        <v>45762</v>
      </c>
      <c r="J322" s="2" t="s">
        <v>598</v>
      </c>
      <c r="K322" s="15">
        <f>PRODUCT(Table25[[#This Row],[Ticket Price]],Table25[[#This Row],[Passenger Count]])</f>
        <v>13320000</v>
      </c>
      <c r="L322" s="15">
        <f>Table25[[#This Row],[Revenue]]*(1-$O$2)</f>
        <v>11988000</v>
      </c>
    </row>
    <row r="323" spans="1:12" x14ac:dyDescent="0.35">
      <c r="A323" t="s">
        <v>318</v>
      </c>
      <c r="B323" t="s">
        <v>569</v>
      </c>
      <c r="C323" t="s">
        <v>581</v>
      </c>
      <c r="D323" s="2" t="s">
        <v>587</v>
      </c>
      <c r="E323" s="1" t="s">
        <v>594</v>
      </c>
      <c r="F323" s="3">
        <v>54</v>
      </c>
      <c r="G323" s="4">
        <v>30000</v>
      </c>
      <c r="H323" s="5">
        <v>101</v>
      </c>
      <c r="I323" s="6">
        <v>45672</v>
      </c>
      <c r="J323" s="2" t="s">
        <v>597</v>
      </c>
      <c r="K323" s="15">
        <f>PRODUCT(Table25[[#This Row],[Ticket Price]],Table25[[#This Row],[Passenger Count]])</f>
        <v>3030000</v>
      </c>
      <c r="L323" s="15">
        <f>Table25[[#This Row],[Revenue]]*(1-$O$2)</f>
        <v>2727000</v>
      </c>
    </row>
    <row r="324" spans="1:12" x14ac:dyDescent="0.35">
      <c r="A324" t="s">
        <v>319</v>
      </c>
      <c r="B324" t="s">
        <v>570</v>
      </c>
      <c r="C324" t="s">
        <v>585</v>
      </c>
      <c r="D324" s="2" t="s">
        <v>584</v>
      </c>
      <c r="E324" s="1" t="s">
        <v>592</v>
      </c>
      <c r="F324" s="3">
        <v>105</v>
      </c>
      <c r="G324" s="4">
        <v>110000</v>
      </c>
      <c r="H324" s="5">
        <v>126</v>
      </c>
      <c r="I324" s="6">
        <v>45818</v>
      </c>
      <c r="J324" s="2" t="s">
        <v>598</v>
      </c>
      <c r="K324" s="15">
        <f>PRODUCT(Table25[[#This Row],[Ticket Price]],Table25[[#This Row],[Passenger Count]])</f>
        <v>13860000</v>
      </c>
      <c r="L324" s="15">
        <f>Table25[[#This Row],[Revenue]]*(1-$O$2)</f>
        <v>12474000</v>
      </c>
    </row>
    <row r="325" spans="1:12" x14ac:dyDescent="0.35">
      <c r="A325" t="s">
        <v>320</v>
      </c>
      <c r="B325" t="s">
        <v>571</v>
      </c>
      <c r="C325" t="s">
        <v>581</v>
      </c>
      <c r="D325" s="2" t="s">
        <v>585</v>
      </c>
      <c r="E325" s="1" t="s">
        <v>595</v>
      </c>
      <c r="F325" s="3">
        <v>27</v>
      </c>
      <c r="G325" s="4">
        <v>45000</v>
      </c>
      <c r="H325" s="5">
        <v>73</v>
      </c>
      <c r="I325" s="6">
        <v>45659</v>
      </c>
      <c r="J325" s="2" t="s">
        <v>598</v>
      </c>
      <c r="K325" s="15">
        <f>PRODUCT(Table25[[#This Row],[Ticket Price]],Table25[[#This Row],[Passenger Count]])</f>
        <v>3285000</v>
      </c>
      <c r="L325" s="15">
        <f>Table25[[#This Row],[Revenue]]*(1-$O$2)</f>
        <v>2956500</v>
      </c>
    </row>
    <row r="326" spans="1:12" x14ac:dyDescent="0.35">
      <c r="A326" t="s">
        <v>321</v>
      </c>
      <c r="B326" t="s">
        <v>572</v>
      </c>
      <c r="C326" t="s">
        <v>588</v>
      </c>
      <c r="D326" s="2" t="s">
        <v>590</v>
      </c>
      <c r="E326" s="1" t="s">
        <v>595</v>
      </c>
      <c r="F326" s="3">
        <v>89</v>
      </c>
      <c r="G326" s="4">
        <v>120000</v>
      </c>
      <c r="H326" s="5">
        <v>175</v>
      </c>
      <c r="I326" s="6">
        <v>45804</v>
      </c>
      <c r="J326" s="2" t="s">
        <v>598</v>
      </c>
      <c r="K326" s="15">
        <f>PRODUCT(Table25[[#This Row],[Ticket Price]],Table25[[#This Row],[Passenger Count]])</f>
        <v>21000000</v>
      </c>
      <c r="L326" s="15">
        <f>Table25[[#This Row],[Revenue]]*(1-$O$2)</f>
        <v>18900000</v>
      </c>
    </row>
    <row r="327" spans="1:12" x14ac:dyDescent="0.35">
      <c r="A327" t="s">
        <v>322</v>
      </c>
      <c r="B327" t="s">
        <v>456</v>
      </c>
      <c r="C327" t="s">
        <v>582</v>
      </c>
      <c r="D327" s="2" t="s">
        <v>589</v>
      </c>
      <c r="E327" s="1" t="s">
        <v>592</v>
      </c>
      <c r="F327" s="3">
        <v>90</v>
      </c>
      <c r="G327" s="4">
        <v>90000</v>
      </c>
      <c r="H327" s="5">
        <v>95</v>
      </c>
      <c r="I327" s="6">
        <v>45775</v>
      </c>
      <c r="J327" s="2" t="s">
        <v>598</v>
      </c>
      <c r="K327" s="15">
        <f>PRODUCT(Table25[[#This Row],[Ticket Price]],Table25[[#This Row],[Passenger Count]])</f>
        <v>8550000</v>
      </c>
      <c r="L327" s="15">
        <f>Table25[[#This Row],[Revenue]]*(1-$O$2)</f>
        <v>7695000</v>
      </c>
    </row>
    <row r="328" spans="1:12" x14ac:dyDescent="0.35">
      <c r="A328" t="s">
        <v>323</v>
      </c>
      <c r="B328" t="s">
        <v>573</v>
      </c>
      <c r="C328" t="s">
        <v>587</v>
      </c>
      <c r="D328" s="2" t="s">
        <v>584</v>
      </c>
      <c r="E328" s="1" t="s">
        <v>596</v>
      </c>
      <c r="F328" s="3">
        <v>6</v>
      </c>
      <c r="G328" s="4">
        <v>95000</v>
      </c>
      <c r="H328" s="5">
        <v>157</v>
      </c>
      <c r="I328" s="6">
        <v>45684</v>
      </c>
      <c r="J328" s="2" t="s">
        <v>597</v>
      </c>
      <c r="K328" s="15">
        <f>PRODUCT(Table25[[#This Row],[Ticket Price]],Table25[[#This Row],[Passenger Count]])</f>
        <v>14915000</v>
      </c>
      <c r="L328" s="15">
        <f>Table25[[#This Row],[Revenue]]*(1-$O$2)</f>
        <v>13423500</v>
      </c>
    </row>
    <row r="329" spans="1:12" x14ac:dyDescent="0.35">
      <c r="A329" t="s">
        <v>324</v>
      </c>
      <c r="B329" t="s">
        <v>532</v>
      </c>
      <c r="C329" t="s">
        <v>581</v>
      </c>
      <c r="D329" s="2" t="s">
        <v>582</v>
      </c>
      <c r="E329" s="1" t="s">
        <v>594</v>
      </c>
      <c r="F329" s="3">
        <v>43</v>
      </c>
      <c r="G329" s="4">
        <v>40000</v>
      </c>
      <c r="H329" s="5">
        <v>80</v>
      </c>
      <c r="I329" s="6">
        <v>45722</v>
      </c>
      <c r="J329" s="2" t="s">
        <v>598</v>
      </c>
      <c r="K329" s="15">
        <f>PRODUCT(Table25[[#This Row],[Ticket Price]],Table25[[#This Row],[Passenger Count]])</f>
        <v>3200000</v>
      </c>
      <c r="L329" s="15">
        <f>Table25[[#This Row],[Revenue]]*(1-$O$2)</f>
        <v>2880000</v>
      </c>
    </row>
    <row r="330" spans="1:12" x14ac:dyDescent="0.35">
      <c r="A330" t="s">
        <v>325</v>
      </c>
      <c r="B330" t="s">
        <v>406</v>
      </c>
      <c r="C330" t="s">
        <v>581</v>
      </c>
      <c r="D330" s="2" t="s">
        <v>590</v>
      </c>
      <c r="E330" s="1" t="s">
        <v>592</v>
      </c>
      <c r="F330" s="3">
        <v>8</v>
      </c>
      <c r="G330" s="4">
        <v>70000</v>
      </c>
      <c r="H330" s="5">
        <v>74</v>
      </c>
      <c r="I330" s="6">
        <v>45732</v>
      </c>
      <c r="J330" s="2" t="s">
        <v>597</v>
      </c>
      <c r="K330" s="15">
        <f>PRODUCT(Table25[[#This Row],[Ticket Price]],Table25[[#This Row],[Passenger Count]])</f>
        <v>5180000</v>
      </c>
      <c r="L330" s="15">
        <f>Table25[[#This Row],[Revenue]]*(1-$O$2)</f>
        <v>4662000</v>
      </c>
    </row>
    <row r="331" spans="1:12" x14ac:dyDescent="0.35">
      <c r="A331" t="s">
        <v>326</v>
      </c>
      <c r="B331" t="s">
        <v>488</v>
      </c>
      <c r="C331" t="s">
        <v>587</v>
      </c>
      <c r="D331" s="2" t="s">
        <v>585</v>
      </c>
      <c r="E331" s="1" t="s">
        <v>594</v>
      </c>
      <c r="F331" s="3">
        <v>153</v>
      </c>
      <c r="G331" s="4">
        <v>125000</v>
      </c>
      <c r="H331" s="5">
        <v>101</v>
      </c>
      <c r="I331" s="6">
        <v>45677</v>
      </c>
      <c r="J331" s="2" t="s">
        <v>598</v>
      </c>
      <c r="K331" s="15">
        <f>PRODUCT(Table25[[#This Row],[Ticket Price]],Table25[[#This Row],[Passenger Count]])</f>
        <v>12625000</v>
      </c>
      <c r="L331" s="15">
        <f>Table25[[#This Row],[Revenue]]*(1-$O$2)</f>
        <v>11362500</v>
      </c>
    </row>
    <row r="332" spans="1:12" x14ac:dyDescent="0.35">
      <c r="A332" t="s">
        <v>327</v>
      </c>
      <c r="B332" t="s">
        <v>543</v>
      </c>
      <c r="C332" t="s">
        <v>588</v>
      </c>
      <c r="D332" s="2" t="s">
        <v>589</v>
      </c>
      <c r="E332" s="1" t="s">
        <v>592</v>
      </c>
      <c r="F332" s="3">
        <v>46</v>
      </c>
      <c r="G332" s="4">
        <v>50000</v>
      </c>
      <c r="H332" s="5">
        <v>141</v>
      </c>
      <c r="I332" s="6">
        <v>45776</v>
      </c>
      <c r="J332" s="2" t="s">
        <v>598</v>
      </c>
      <c r="K332" s="15">
        <f>PRODUCT(Table25[[#This Row],[Ticket Price]],Table25[[#This Row],[Passenger Count]])</f>
        <v>7050000</v>
      </c>
      <c r="L332" s="15">
        <f>Table25[[#This Row],[Revenue]]*(1-$O$2)</f>
        <v>6345000</v>
      </c>
    </row>
    <row r="333" spans="1:12" x14ac:dyDescent="0.35">
      <c r="A333" t="s">
        <v>328</v>
      </c>
      <c r="B333" t="s">
        <v>574</v>
      </c>
      <c r="C333" t="s">
        <v>584</v>
      </c>
      <c r="D333" s="2" t="s">
        <v>590</v>
      </c>
      <c r="E333" s="1" t="s">
        <v>594</v>
      </c>
      <c r="F333" s="3">
        <v>136</v>
      </c>
      <c r="G333" s="4">
        <v>25000</v>
      </c>
      <c r="H333" s="5">
        <v>132</v>
      </c>
      <c r="I333" s="6">
        <v>45756</v>
      </c>
      <c r="J333" s="2" t="s">
        <v>598</v>
      </c>
      <c r="K333" s="15">
        <f>PRODUCT(Table25[[#This Row],[Ticket Price]],Table25[[#This Row],[Passenger Count]])</f>
        <v>3300000</v>
      </c>
      <c r="L333" s="15">
        <f>Table25[[#This Row],[Revenue]]*(1-$O$2)</f>
        <v>2970000</v>
      </c>
    </row>
    <row r="334" spans="1:12" x14ac:dyDescent="0.35">
      <c r="A334" t="s">
        <v>329</v>
      </c>
      <c r="B334" t="s">
        <v>378</v>
      </c>
      <c r="C334" t="s">
        <v>584</v>
      </c>
      <c r="D334" s="2" t="s">
        <v>591</v>
      </c>
      <c r="E334" s="1" t="s">
        <v>592</v>
      </c>
      <c r="F334" s="3">
        <v>-1</v>
      </c>
      <c r="G334" s="4">
        <v>125000</v>
      </c>
      <c r="H334" s="5">
        <v>113</v>
      </c>
      <c r="I334" s="6">
        <v>45741</v>
      </c>
      <c r="J334" s="2" t="s">
        <v>598</v>
      </c>
      <c r="K334" s="15">
        <f>PRODUCT(Table25[[#This Row],[Ticket Price]],Table25[[#This Row],[Passenger Count]])</f>
        <v>14125000</v>
      </c>
      <c r="L334" s="15">
        <f>Table25[[#This Row],[Revenue]]*(1-$O$2)</f>
        <v>12712500</v>
      </c>
    </row>
    <row r="335" spans="1:12" x14ac:dyDescent="0.35">
      <c r="A335" t="s">
        <v>330</v>
      </c>
      <c r="B335" t="s">
        <v>350</v>
      </c>
      <c r="C335" t="s">
        <v>584</v>
      </c>
      <c r="D335" s="2" t="s">
        <v>591</v>
      </c>
      <c r="E335" s="1" t="s">
        <v>592</v>
      </c>
      <c r="F335" s="3">
        <v>94</v>
      </c>
      <c r="G335" s="4">
        <v>70000</v>
      </c>
      <c r="H335" s="5">
        <v>113</v>
      </c>
      <c r="I335" s="6">
        <v>45792</v>
      </c>
      <c r="J335" s="2" t="s">
        <v>598</v>
      </c>
      <c r="K335" s="15">
        <f>PRODUCT(Table25[[#This Row],[Ticket Price]],Table25[[#This Row],[Passenger Count]])</f>
        <v>7910000</v>
      </c>
      <c r="L335" s="15">
        <f>Table25[[#This Row],[Revenue]]*(1-$O$2)</f>
        <v>7119000</v>
      </c>
    </row>
    <row r="336" spans="1:12" x14ac:dyDescent="0.35">
      <c r="A336" t="s">
        <v>331</v>
      </c>
      <c r="B336" t="s">
        <v>531</v>
      </c>
      <c r="C336" t="s">
        <v>584</v>
      </c>
      <c r="D336" s="2" t="s">
        <v>589</v>
      </c>
      <c r="E336" s="1" t="s">
        <v>592</v>
      </c>
      <c r="F336" s="3">
        <v>32</v>
      </c>
      <c r="G336" s="4">
        <v>90000</v>
      </c>
      <c r="H336" s="5">
        <v>110</v>
      </c>
      <c r="I336" s="6">
        <v>45735</v>
      </c>
      <c r="J336" s="2" t="s">
        <v>598</v>
      </c>
      <c r="K336" s="15">
        <f>PRODUCT(Table25[[#This Row],[Ticket Price]],Table25[[#This Row],[Passenger Count]])</f>
        <v>9900000</v>
      </c>
      <c r="L336" s="15">
        <f>Table25[[#This Row],[Revenue]]*(1-$O$2)</f>
        <v>8910000</v>
      </c>
    </row>
    <row r="337" spans="1:12" x14ac:dyDescent="0.35">
      <c r="A337" t="s">
        <v>332</v>
      </c>
      <c r="B337" t="s">
        <v>575</v>
      </c>
      <c r="C337" t="s">
        <v>582</v>
      </c>
      <c r="D337" s="2" t="s">
        <v>584</v>
      </c>
      <c r="E337" s="1" t="s">
        <v>595</v>
      </c>
      <c r="F337" s="3">
        <v>55</v>
      </c>
      <c r="G337" s="4">
        <v>115000</v>
      </c>
      <c r="H337" s="5">
        <v>128</v>
      </c>
      <c r="I337" s="6">
        <v>45756</v>
      </c>
      <c r="J337" s="2" t="s">
        <v>598</v>
      </c>
      <c r="K337" s="15">
        <f>PRODUCT(Table25[[#This Row],[Ticket Price]],Table25[[#This Row],[Passenger Count]])</f>
        <v>14720000</v>
      </c>
      <c r="L337" s="15">
        <f>Table25[[#This Row],[Revenue]]*(1-$O$2)</f>
        <v>13248000</v>
      </c>
    </row>
    <row r="338" spans="1:12" x14ac:dyDescent="0.35">
      <c r="A338" t="s">
        <v>333</v>
      </c>
      <c r="B338" t="s">
        <v>537</v>
      </c>
      <c r="C338" t="s">
        <v>586</v>
      </c>
      <c r="D338" s="2" t="s">
        <v>583</v>
      </c>
      <c r="E338" s="1" t="s">
        <v>593</v>
      </c>
      <c r="F338" s="3">
        <v>19</v>
      </c>
      <c r="G338" s="4">
        <v>100000</v>
      </c>
      <c r="H338" s="5">
        <v>93</v>
      </c>
      <c r="I338" s="6">
        <v>45668</v>
      </c>
      <c r="J338" s="2" t="s">
        <v>597</v>
      </c>
      <c r="K338" s="15">
        <f>PRODUCT(Table25[[#This Row],[Ticket Price]],Table25[[#This Row],[Passenger Count]])</f>
        <v>9300000</v>
      </c>
      <c r="L338" s="15">
        <f>Table25[[#This Row],[Revenue]]*(1-$O$2)</f>
        <v>8370000</v>
      </c>
    </row>
    <row r="339" spans="1:12" x14ac:dyDescent="0.35">
      <c r="A339" t="s">
        <v>334</v>
      </c>
      <c r="B339" t="s">
        <v>554</v>
      </c>
      <c r="C339" t="s">
        <v>583</v>
      </c>
      <c r="D339" s="2" t="s">
        <v>590</v>
      </c>
      <c r="E339" s="1" t="s">
        <v>594</v>
      </c>
      <c r="F339" s="3">
        <v>6</v>
      </c>
      <c r="G339" s="4">
        <v>40000</v>
      </c>
      <c r="H339" s="5">
        <v>146</v>
      </c>
      <c r="I339" s="6">
        <v>45681</v>
      </c>
      <c r="J339" s="2" t="s">
        <v>597</v>
      </c>
      <c r="K339" s="15">
        <f>PRODUCT(Table25[[#This Row],[Ticket Price]],Table25[[#This Row],[Passenger Count]])</f>
        <v>5840000</v>
      </c>
      <c r="L339" s="15">
        <f>Table25[[#This Row],[Revenue]]*(1-$O$2)</f>
        <v>5256000</v>
      </c>
    </row>
    <row r="340" spans="1:12" x14ac:dyDescent="0.35">
      <c r="A340" t="s">
        <v>335</v>
      </c>
      <c r="B340" t="s">
        <v>511</v>
      </c>
      <c r="C340" t="s">
        <v>585</v>
      </c>
      <c r="D340" s="2" t="s">
        <v>582</v>
      </c>
      <c r="E340" s="1" t="s">
        <v>592</v>
      </c>
      <c r="F340" s="3">
        <v>29</v>
      </c>
      <c r="G340" s="4">
        <v>130000</v>
      </c>
      <c r="H340" s="5">
        <v>98</v>
      </c>
      <c r="I340" s="6">
        <v>45718</v>
      </c>
      <c r="J340" s="2" t="s">
        <v>597</v>
      </c>
      <c r="K340" s="15">
        <f>PRODUCT(Table25[[#This Row],[Ticket Price]],Table25[[#This Row],[Passenger Count]])</f>
        <v>12740000</v>
      </c>
      <c r="L340" s="15">
        <f>Table25[[#This Row],[Revenue]]*(1-$O$2)</f>
        <v>11466000</v>
      </c>
    </row>
    <row r="341" spans="1:12" x14ac:dyDescent="0.35">
      <c r="A341" t="s">
        <v>336</v>
      </c>
      <c r="B341" t="s">
        <v>576</v>
      </c>
      <c r="C341" t="s">
        <v>581</v>
      </c>
      <c r="D341" s="2" t="s">
        <v>583</v>
      </c>
      <c r="E341" s="1" t="s">
        <v>592</v>
      </c>
      <c r="F341" s="3">
        <v>153</v>
      </c>
      <c r="G341" s="4">
        <v>120000</v>
      </c>
      <c r="H341" s="5">
        <v>134</v>
      </c>
      <c r="I341" s="6">
        <v>45701</v>
      </c>
      <c r="J341" s="2" t="s">
        <v>598</v>
      </c>
      <c r="K341" s="15">
        <f>PRODUCT(Table25[[#This Row],[Ticket Price]],Table25[[#This Row],[Passenger Count]])</f>
        <v>16080000</v>
      </c>
      <c r="L341" s="15">
        <f>Table25[[#This Row],[Revenue]]*(1-$O$2)</f>
        <v>14472000</v>
      </c>
    </row>
    <row r="342" spans="1:12" x14ac:dyDescent="0.35">
      <c r="A342" t="s">
        <v>337</v>
      </c>
      <c r="B342" t="s">
        <v>577</v>
      </c>
      <c r="C342" t="s">
        <v>581</v>
      </c>
      <c r="D342" s="2" t="s">
        <v>589</v>
      </c>
      <c r="E342" s="1" t="s">
        <v>596</v>
      </c>
      <c r="F342" s="3">
        <v>116</v>
      </c>
      <c r="G342" s="4">
        <v>135000</v>
      </c>
      <c r="H342" s="5">
        <v>151</v>
      </c>
      <c r="I342" s="6">
        <v>45717</v>
      </c>
      <c r="J342" s="2" t="s">
        <v>597</v>
      </c>
      <c r="K342" s="15">
        <f>PRODUCT(Table25[[#This Row],[Ticket Price]],Table25[[#This Row],[Passenger Count]])</f>
        <v>20385000</v>
      </c>
      <c r="L342" s="15">
        <f>Table25[[#This Row],[Revenue]]*(1-$O$2)</f>
        <v>18346500</v>
      </c>
    </row>
    <row r="343" spans="1:12" x14ac:dyDescent="0.35">
      <c r="A343" t="s">
        <v>338</v>
      </c>
      <c r="B343" t="s">
        <v>495</v>
      </c>
      <c r="C343" t="s">
        <v>586</v>
      </c>
      <c r="D343" s="2" t="s">
        <v>583</v>
      </c>
      <c r="E343" s="1" t="s">
        <v>593</v>
      </c>
      <c r="F343" s="3">
        <v>167</v>
      </c>
      <c r="G343" s="4">
        <v>35000</v>
      </c>
      <c r="H343" s="5">
        <v>73</v>
      </c>
      <c r="I343" s="6">
        <v>45797</v>
      </c>
      <c r="J343" s="2" t="s">
        <v>598</v>
      </c>
      <c r="K343" s="15">
        <f>PRODUCT(Table25[[#This Row],[Ticket Price]],Table25[[#This Row],[Passenger Count]])</f>
        <v>2555000</v>
      </c>
      <c r="L343" s="15">
        <f>Table25[[#This Row],[Revenue]]*(1-$O$2)</f>
        <v>2299500</v>
      </c>
    </row>
    <row r="344" spans="1:12" x14ac:dyDescent="0.35">
      <c r="A344" t="s">
        <v>339</v>
      </c>
      <c r="B344" t="s">
        <v>388</v>
      </c>
      <c r="C344" t="s">
        <v>584</v>
      </c>
      <c r="D344" s="2" t="s">
        <v>591</v>
      </c>
      <c r="E344" s="1" t="s">
        <v>596</v>
      </c>
      <c r="F344" s="3">
        <v>42</v>
      </c>
      <c r="G344" s="4">
        <v>90000</v>
      </c>
      <c r="H344" s="5">
        <v>146</v>
      </c>
      <c r="I344" s="6">
        <v>45678</v>
      </c>
      <c r="J344" s="2" t="s">
        <v>597</v>
      </c>
      <c r="K344" s="15">
        <f>PRODUCT(Table25[[#This Row],[Ticket Price]],Table25[[#This Row],[Passenger Count]])</f>
        <v>13140000</v>
      </c>
      <c r="L344" s="15">
        <f>Table25[[#This Row],[Revenue]]*(1-$O$2)</f>
        <v>11826000</v>
      </c>
    </row>
    <row r="345" spans="1:12" x14ac:dyDescent="0.35">
      <c r="A345" t="s">
        <v>340</v>
      </c>
      <c r="B345" t="s">
        <v>578</v>
      </c>
      <c r="C345" t="s">
        <v>582</v>
      </c>
      <c r="D345" s="2" t="s">
        <v>590</v>
      </c>
      <c r="E345" s="1" t="s">
        <v>596</v>
      </c>
      <c r="F345" s="3">
        <v>124</v>
      </c>
      <c r="G345" s="4">
        <v>145000</v>
      </c>
      <c r="H345" s="5">
        <v>169</v>
      </c>
      <c r="I345" s="6">
        <v>45763</v>
      </c>
      <c r="J345" s="2" t="s">
        <v>597</v>
      </c>
      <c r="K345" s="15">
        <f>PRODUCT(Table25[[#This Row],[Ticket Price]],Table25[[#This Row],[Passenger Count]])</f>
        <v>24505000</v>
      </c>
      <c r="L345" s="15">
        <f>Table25[[#This Row],[Revenue]]*(1-$O$2)</f>
        <v>22054500</v>
      </c>
    </row>
    <row r="346" spans="1:12" x14ac:dyDescent="0.35">
      <c r="A346" t="s">
        <v>341</v>
      </c>
      <c r="B346" t="s">
        <v>579</v>
      </c>
      <c r="C346" t="s">
        <v>586</v>
      </c>
      <c r="D346" s="2" t="s">
        <v>590</v>
      </c>
      <c r="E346" s="1" t="s">
        <v>593</v>
      </c>
      <c r="F346" s="3">
        <v>119</v>
      </c>
      <c r="G346" s="4">
        <v>40000</v>
      </c>
      <c r="H346" s="5">
        <v>97</v>
      </c>
      <c r="I346" s="6">
        <v>45722</v>
      </c>
      <c r="J346" s="2" t="s">
        <v>598</v>
      </c>
      <c r="K346" s="15">
        <f>PRODUCT(Table25[[#This Row],[Ticket Price]],Table25[[#This Row],[Passenger Count]])</f>
        <v>3880000</v>
      </c>
      <c r="L346" s="15">
        <f>Table25[[#This Row],[Revenue]]*(1-$O$2)</f>
        <v>3492000</v>
      </c>
    </row>
    <row r="347" spans="1:12" x14ac:dyDescent="0.35">
      <c r="A347" t="s">
        <v>342</v>
      </c>
      <c r="B347" t="s">
        <v>517</v>
      </c>
      <c r="C347" t="s">
        <v>585</v>
      </c>
      <c r="D347" s="2" t="s">
        <v>587</v>
      </c>
      <c r="E347" s="1" t="s">
        <v>592</v>
      </c>
      <c r="F347" s="3">
        <v>-3</v>
      </c>
      <c r="G347" s="4">
        <v>60000</v>
      </c>
      <c r="H347" s="5">
        <v>126</v>
      </c>
      <c r="I347" s="6">
        <v>45744</v>
      </c>
      <c r="J347" s="2" t="s">
        <v>598</v>
      </c>
      <c r="K347" s="15">
        <f>PRODUCT(Table25[[#This Row],[Ticket Price]],Table25[[#This Row],[Passenger Count]])</f>
        <v>7560000</v>
      </c>
      <c r="L347" s="15">
        <f>Table25[[#This Row],[Revenue]]*(1-$O$2)</f>
        <v>6804000</v>
      </c>
    </row>
    <row r="348" spans="1:12" x14ac:dyDescent="0.35">
      <c r="A348" t="s">
        <v>343</v>
      </c>
      <c r="B348" t="s">
        <v>580</v>
      </c>
      <c r="C348" t="s">
        <v>584</v>
      </c>
      <c r="D348" s="2" t="s">
        <v>589</v>
      </c>
      <c r="E348" s="1" t="s">
        <v>595</v>
      </c>
      <c r="F348" s="3">
        <v>92</v>
      </c>
      <c r="G348" s="4">
        <v>135000</v>
      </c>
      <c r="H348" s="5">
        <v>125</v>
      </c>
      <c r="I348" s="6">
        <v>45795</v>
      </c>
      <c r="J348" s="2" t="s">
        <v>597</v>
      </c>
      <c r="K348" s="15">
        <f>PRODUCT(Table25[[#This Row],[Ticket Price]],Table25[[#This Row],[Passenger Count]])</f>
        <v>16875000</v>
      </c>
      <c r="L348" s="15">
        <f>Table25[[#This Row],[Revenue]]*(1-$O$2)</f>
        <v>15187500</v>
      </c>
    </row>
    <row r="349" spans="1:12" x14ac:dyDescent="0.35">
      <c r="A349" t="s">
        <v>344</v>
      </c>
      <c r="B349" t="s">
        <v>545</v>
      </c>
      <c r="C349" t="s">
        <v>585</v>
      </c>
      <c r="D349" s="2" t="s">
        <v>583</v>
      </c>
      <c r="E349" s="1" t="s">
        <v>595</v>
      </c>
      <c r="F349" s="3">
        <v>175</v>
      </c>
      <c r="G349" s="4">
        <v>80000</v>
      </c>
      <c r="H349" s="5">
        <v>110</v>
      </c>
      <c r="I349" s="6">
        <v>45797</v>
      </c>
      <c r="J349" s="2" t="s">
        <v>598</v>
      </c>
      <c r="K349" s="15">
        <f>PRODUCT(Table25[[#This Row],[Ticket Price]],Table25[[#This Row],[Passenger Count]])</f>
        <v>8800000</v>
      </c>
      <c r="L349" s="15">
        <f>Table25[[#This Row],[Revenue]]*(1-$O$2)</f>
        <v>7920000</v>
      </c>
    </row>
    <row r="350" spans="1:12" x14ac:dyDescent="0.35">
      <c r="A350" t="s">
        <v>345</v>
      </c>
      <c r="B350" t="s">
        <v>554</v>
      </c>
      <c r="C350" t="s">
        <v>585</v>
      </c>
      <c r="D350" s="2" t="s">
        <v>584</v>
      </c>
      <c r="E350" s="1" t="s">
        <v>594</v>
      </c>
      <c r="F350" s="3">
        <v>76</v>
      </c>
      <c r="G350" s="4">
        <v>115000</v>
      </c>
      <c r="H350" s="5">
        <v>93</v>
      </c>
      <c r="I350" s="6">
        <v>45714</v>
      </c>
      <c r="J350" s="2" t="s">
        <v>598</v>
      </c>
      <c r="K350" s="15">
        <f>PRODUCT(Table25[[#This Row],[Ticket Price]],Table25[[#This Row],[Passenger Count]])</f>
        <v>10695000</v>
      </c>
      <c r="L350" s="15">
        <f>Table25[[#This Row],[Revenue]]*(1-$O$2)</f>
        <v>9625500</v>
      </c>
    </row>
    <row r="351" spans="1:12" x14ac:dyDescent="0.35">
      <c r="A351" t="s">
        <v>346</v>
      </c>
      <c r="B351" t="s">
        <v>506</v>
      </c>
      <c r="C351" t="s">
        <v>586</v>
      </c>
      <c r="D351" s="2" t="s">
        <v>582</v>
      </c>
      <c r="E351" s="1" t="s">
        <v>593</v>
      </c>
      <c r="F351" s="3">
        <v>25</v>
      </c>
      <c r="G351" s="4">
        <v>115000</v>
      </c>
      <c r="H351" s="5">
        <v>168</v>
      </c>
      <c r="I351" s="6">
        <v>45740</v>
      </c>
      <c r="J351" s="2" t="s">
        <v>598</v>
      </c>
      <c r="K351" s="15">
        <f>PRODUCT(Table25[[#This Row],[Ticket Price]],Table25[[#This Row],[Passenger Count]])</f>
        <v>19320000</v>
      </c>
      <c r="L351" s="15">
        <f>Table25[[#This Row],[Revenue]]*(1-$O$2)</f>
        <v>17388000</v>
      </c>
    </row>
    <row r="352" spans="1:12" x14ac:dyDescent="0.35">
      <c r="A352"/>
      <c r="D352"/>
      <c r="F352"/>
      <c r="G352"/>
      <c r="H352"/>
      <c r="I352"/>
      <c r="J352"/>
      <c r="K352"/>
    </row>
    <row r="353" spans="1:11" x14ac:dyDescent="0.35">
      <c r="A353"/>
      <c r="D353"/>
      <c r="F353"/>
      <c r="G353"/>
      <c r="H353"/>
      <c r="I353"/>
      <c r="J353"/>
      <c r="K353"/>
    </row>
    <row r="354" spans="1:11" x14ac:dyDescent="0.35">
      <c r="A354"/>
      <c r="D354"/>
      <c r="F354"/>
      <c r="G354" s="16" t="s">
        <v>613</v>
      </c>
      <c r="H354" s="5">
        <f>SUM(H2:H351)</f>
        <v>41724</v>
      </c>
      <c r="I354"/>
      <c r="J354"/>
      <c r="K354"/>
    </row>
    <row r="355" spans="1:11" x14ac:dyDescent="0.35">
      <c r="A355"/>
      <c r="D355"/>
      <c r="F355"/>
      <c r="G355"/>
      <c r="H355"/>
      <c r="I355"/>
      <c r="J355"/>
      <c r="K355"/>
    </row>
    <row r="356" spans="1:11" x14ac:dyDescent="0.35">
      <c r="A356"/>
      <c r="D356"/>
      <c r="F356"/>
      <c r="G356"/>
      <c r="H356"/>
      <c r="I356"/>
      <c r="J356"/>
      <c r="K35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76A4-060A-4214-B27C-57846D4DC601}">
  <dimension ref="A1:T356"/>
  <sheetViews>
    <sheetView topLeftCell="L1" zoomScaleNormal="100" workbookViewId="0">
      <selection activeCell="O9" sqref="O9"/>
    </sheetView>
  </sheetViews>
  <sheetFormatPr defaultRowHeight="14.5" x14ac:dyDescent="0.35"/>
  <cols>
    <col min="1" max="1" width="19.36328125" style="1" customWidth="1"/>
    <col min="2" max="2" width="19.6328125" customWidth="1"/>
    <col min="3" max="3" width="20.54296875" customWidth="1"/>
    <col min="4" max="4" width="19.453125" style="2" bestFit="1" customWidth="1"/>
    <col min="5" max="5" width="20.54296875" customWidth="1"/>
    <col min="6" max="6" width="21.6328125" style="3" customWidth="1"/>
    <col min="7" max="7" width="20.36328125" style="4" customWidth="1"/>
    <col min="8" max="8" width="18.90625" style="5" customWidth="1"/>
    <col min="9" max="9" width="20.6328125" style="6" customWidth="1"/>
    <col min="10" max="10" width="14.81640625" style="2" customWidth="1"/>
    <col min="11" max="11" width="19" style="15" customWidth="1"/>
    <col min="12" max="12" width="20.81640625" style="1" customWidth="1"/>
    <col min="13" max="13" width="21" bestFit="1" customWidth="1"/>
    <col min="14" max="14" width="31" customWidth="1"/>
    <col min="16" max="16" width="11.7265625" customWidth="1"/>
    <col min="17" max="17" width="17.54296875" customWidth="1"/>
    <col min="18" max="19" width="17.81640625" customWidth="1"/>
    <col min="20" max="20" width="13.54296875" bestFit="1" customWidth="1"/>
  </cols>
  <sheetData>
    <row r="1" spans="1:20" x14ac:dyDescent="0.35">
      <c r="A1" s="7" t="s">
        <v>603</v>
      </c>
      <c r="B1" s="8" t="s">
        <v>604</v>
      </c>
      <c r="C1" s="8" t="s">
        <v>605</v>
      </c>
      <c r="D1" s="9" t="s">
        <v>606</v>
      </c>
      <c r="E1" s="8" t="s">
        <v>607</v>
      </c>
      <c r="F1" s="10" t="s">
        <v>608</v>
      </c>
      <c r="G1" s="11" t="s">
        <v>609</v>
      </c>
      <c r="H1" s="12" t="s">
        <v>610</v>
      </c>
      <c r="I1" s="13" t="s">
        <v>611</v>
      </c>
      <c r="J1" s="9" t="s">
        <v>0</v>
      </c>
      <c r="K1" s="14" t="s">
        <v>612</v>
      </c>
      <c r="L1" s="17" t="s">
        <v>614</v>
      </c>
      <c r="M1" s="17" t="s">
        <v>617</v>
      </c>
      <c r="N1" s="17" t="s">
        <v>642</v>
      </c>
      <c r="O1" s="20"/>
      <c r="Q1" s="26" t="s">
        <v>615</v>
      </c>
      <c r="R1" s="26" t="s">
        <v>616</v>
      </c>
      <c r="S1" s="26" t="s">
        <v>614</v>
      </c>
    </row>
    <row r="2" spans="1:20" x14ac:dyDescent="0.35">
      <c r="A2" t="s">
        <v>1</v>
      </c>
      <c r="B2" t="s">
        <v>347</v>
      </c>
      <c r="C2" t="s">
        <v>581</v>
      </c>
      <c r="D2" s="2" t="s">
        <v>585</v>
      </c>
      <c r="E2" s="1" t="s">
        <v>592</v>
      </c>
      <c r="F2" s="3">
        <v>122</v>
      </c>
      <c r="G2" s="4">
        <v>140000</v>
      </c>
      <c r="H2" s="5">
        <v>94</v>
      </c>
      <c r="I2" s="6">
        <v>45682</v>
      </c>
      <c r="J2" s="2" t="s">
        <v>597</v>
      </c>
      <c r="K2" s="15">
        <f>PRODUCT(Table242[[#This Row],[Ticket Price]],Table242[[#This Row],[Passenger Count]])</f>
        <v>13160000</v>
      </c>
      <c r="L2" s="15">
        <f>Table242[[#This Row],[Revenue]]*(1-$Q$2)</f>
        <v>11844000</v>
      </c>
      <c r="M2" t="str">
        <f>IF(F2&lt;=10,"On Time",IF(F2&lt;=30,"Slight Delay","Late"))</f>
        <v>Late</v>
      </c>
      <c r="N2">
        <f>IF(Table242[[#This Row],[Performance Rating]]="On Time",1,0)</f>
        <v>0</v>
      </c>
      <c r="Q2" s="27">
        <f>10/100</f>
        <v>0.1</v>
      </c>
      <c r="R2" s="23">
        <f>Table242[[#This Row],[Revenue]]*Q2</f>
        <v>1316000</v>
      </c>
      <c r="S2" s="23">
        <f>Table242[[#This Row],[Revenue]]-R2</f>
        <v>11844000</v>
      </c>
      <c r="T2" s="15"/>
    </row>
    <row r="3" spans="1:20" x14ac:dyDescent="0.35">
      <c r="A3" t="s">
        <v>2</v>
      </c>
      <c r="B3" t="s">
        <v>348</v>
      </c>
      <c r="C3" t="s">
        <v>582</v>
      </c>
      <c r="D3" s="2" t="s">
        <v>589</v>
      </c>
      <c r="E3" s="1" t="s">
        <v>593</v>
      </c>
      <c r="F3" s="3">
        <v>149</v>
      </c>
      <c r="G3" s="4">
        <v>100000</v>
      </c>
      <c r="H3" s="5">
        <v>129</v>
      </c>
      <c r="I3" s="6">
        <v>45778</v>
      </c>
      <c r="J3" s="2" t="s">
        <v>598</v>
      </c>
      <c r="K3" s="15">
        <f>PRODUCT(Table242[[#This Row],[Ticket Price]],Table242[[#This Row],[Passenger Count]])</f>
        <v>12900000</v>
      </c>
      <c r="L3" s="15">
        <f>Table242[[#This Row],[Revenue]]*(1-$Q$2)</f>
        <v>11610000</v>
      </c>
      <c r="M3" t="str">
        <f t="shared" ref="M3:M66" si="0">IF(F3&lt;=10,"On Time",IF(F3&lt;=30,"Slight Delay","Late"))</f>
        <v>Late</v>
      </c>
      <c r="N3">
        <f>IF(Table242[[#This Row],[Performance Rating]]="On Time",1,0)</f>
        <v>0</v>
      </c>
      <c r="Q3" s="18"/>
      <c r="R3" s="15"/>
    </row>
    <row r="4" spans="1:20" x14ac:dyDescent="0.35">
      <c r="A4" t="s">
        <v>601</v>
      </c>
      <c r="B4" t="s">
        <v>349</v>
      </c>
      <c r="C4" t="s">
        <v>581</v>
      </c>
      <c r="D4" s="2" t="s">
        <v>584</v>
      </c>
      <c r="E4" s="1" t="s">
        <v>594</v>
      </c>
      <c r="F4" s="3">
        <v>127</v>
      </c>
      <c r="G4" s="4">
        <v>70000</v>
      </c>
      <c r="H4" s="5">
        <v>125</v>
      </c>
      <c r="I4" s="6">
        <v>45670</v>
      </c>
      <c r="J4" s="2" t="s">
        <v>597</v>
      </c>
      <c r="K4" s="15">
        <f>PRODUCT(Table242[[#This Row],[Ticket Price]],Table242[[#This Row],[Passenger Count]])</f>
        <v>8750000</v>
      </c>
      <c r="L4" s="15">
        <f>Table242[[#This Row],[Revenue]]*(1-$Q$2)</f>
        <v>7875000</v>
      </c>
      <c r="M4" t="str">
        <f t="shared" si="0"/>
        <v>Late</v>
      </c>
      <c r="N4">
        <f>IF(Table242[[#This Row],[Performance Rating]]="On Time",1,0)</f>
        <v>0</v>
      </c>
    </row>
    <row r="5" spans="1:20" x14ac:dyDescent="0.35">
      <c r="A5" t="s">
        <v>3</v>
      </c>
      <c r="B5" t="s">
        <v>350</v>
      </c>
      <c r="C5" t="s">
        <v>583</v>
      </c>
      <c r="D5" s="2" t="s">
        <v>587</v>
      </c>
      <c r="E5" s="1" t="s">
        <v>595</v>
      </c>
      <c r="F5" s="3">
        <v>-4</v>
      </c>
      <c r="G5" s="4">
        <v>65000</v>
      </c>
      <c r="H5" s="5">
        <v>88</v>
      </c>
      <c r="I5" s="6">
        <v>45742</v>
      </c>
      <c r="J5" s="2" t="s">
        <v>597</v>
      </c>
      <c r="K5" s="15">
        <f>PRODUCT(Table242[[#This Row],[Ticket Price]],Table242[[#This Row],[Passenger Count]])</f>
        <v>5720000</v>
      </c>
      <c r="L5" s="15">
        <f>Table242[[#This Row],[Revenue]]*(1-$Q$2)</f>
        <v>5148000</v>
      </c>
      <c r="M5" t="str">
        <f t="shared" si="0"/>
        <v>On Time</v>
      </c>
      <c r="N5">
        <f>IF(Table242[[#This Row],[Performance Rating]]="On Time",1,0)</f>
        <v>1</v>
      </c>
      <c r="Q5" s="36" t="s">
        <v>618</v>
      </c>
      <c r="R5" s="36"/>
    </row>
    <row r="6" spans="1:20" x14ac:dyDescent="0.35">
      <c r="A6" t="s">
        <v>4</v>
      </c>
      <c r="B6" t="s">
        <v>351</v>
      </c>
      <c r="C6" t="s">
        <v>584</v>
      </c>
      <c r="D6" s="2" t="s">
        <v>582</v>
      </c>
      <c r="E6" s="1" t="s">
        <v>592</v>
      </c>
      <c r="F6" s="3">
        <v>161</v>
      </c>
      <c r="G6" s="4">
        <v>130000</v>
      </c>
      <c r="H6" s="5">
        <v>159</v>
      </c>
      <c r="I6" s="6">
        <v>45742</v>
      </c>
      <c r="J6" s="2" t="s">
        <v>597</v>
      </c>
      <c r="K6" s="15">
        <f>PRODUCT(Table242[[#This Row],[Ticket Price]],Table242[[#This Row],[Passenger Count]])</f>
        <v>20670000</v>
      </c>
      <c r="L6" s="15">
        <f>Table242[[#This Row],[Revenue]]*(1-$Q$2)</f>
        <v>18603000</v>
      </c>
      <c r="M6" t="str">
        <f t="shared" si="0"/>
        <v>Late</v>
      </c>
      <c r="N6">
        <f>IF(Table242[[#This Row],[Performance Rating]]="On Time",1,0)</f>
        <v>0</v>
      </c>
      <c r="Q6" s="28" t="s">
        <v>604</v>
      </c>
      <c r="R6" s="28" t="s">
        <v>609</v>
      </c>
    </row>
    <row r="7" spans="1:20" x14ac:dyDescent="0.35">
      <c r="A7" t="s">
        <v>5</v>
      </c>
      <c r="B7" t="s">
        <v>352</v>
      </c>
      <c r="C7" t="s">
        <v>584</v>
      </c>
      <c r="D7" s="2" t="s">
        <v>590</v>
      </c>
      <c r="E7" s="1" t="s">
        <v>596</v>
      </c>
      <c r="F7" s="3">
        <v>112</v>
      </c>
      <c r="G7" s="4">
        <v>40000</v>
      </c>
      <c r="H7" s="5">
        <v>84</v>
      </c>
      <c r="I7" s="6">
        <v>45688</v>
      </c>
      <c r="J7" s="2" t="s">
        <v>598</v>
      </c>
      <c r="K7" s="15">
        <f>PRODUCT(Table242[[#This Row],[Ticket Price]],Table242[[#This Row],[Passenger Count]])</f>
        <v>3360000</v>
      </c>
      <c r="L7" s="15">
        <f>Table242[[#This Row],[Revenue]]*(1-$Q$2)</f>
        <v>3024000</v>
      </c>
      <c r="M7" t="str">
        <f t="shared" si="0"/>
        <v>Late</v>
      </c>
      <c r="N7">
        <f>IF(Table242[[#This Row],[Performance Rating]]="On Time",1,0)</f>
        <v>0</v>
      </c>
      <c r="Q7" s="22" t="s">
        <v>375</v>
      </c>
      <c r="R7" s="23">
        <f>VLOOKUP(Q7,B:M,6,0)</f>
        <v>90000</v>
      </c>
    </row>
    <row r="8" spans="1:20" x14ac:dyDescent="0.35">
      <c r="A8" t="s">
        <v>6</v>
      </c>
      <c r="B8" t="s">
        <v>353</v>
      </c>
      <c r="C8" t="s">
        <v>583</v>
      </c>
      <c r="D8" s="2" t="s">
        <v>591</v>
      </c>
      <c r="E8" s="1" t="s">
        <v>593</v>
      </c>
      <c r="F8" s="3">
        <v>107</v>
      </c>
      <c r="G8" s="4">
        <v>145000</v>
      </c>
      <c r="H8" s="5">
        <v>60</v>
      </c>
      <c r="I8" s="6">
        <v>45733</v>
      </c>
      <c r="J8" s="2" t="s">
        <v>597</v>
      </c>
      <c r="K8" s="15">
        <f>PRODUCT(Table242[[#This Row],[Ticket Price]],Table242[[#This Row],[Passenger Count]])</f>
        <v>8700000</v>
      </c>
      <c r="L8" s="15">
        <f>Table242[[#This Row],[Revenue]]*(1-$Q$2)</f>
        <v>7830000</v>
      </c>
      <c r="M8" t="str">
        <f t="shared" si="0"/>
        <v>Late</v>
      </c>
      <c r="N8">
        <f>IF(Table242[[#This Row],[Performance Rating]]="On Time",1,0)</f>
        <v>0</v>
      </c>
    </row>
    <row r="9" spans="1:20" x14ac:dyDescent="0.35">
      <c r="A9" t="s">
        <v>602</v>
      </c>
      <c r="B9" t="s">
        <v>354</v>
      </c>
      <c r="C9" t="s">
        <v>585</v>
      </c>
      <c r="D9" s="2" t="s">
        <v>584</v>
      </c>
      <c r="E9" s="1" t="s">
        <v>593</v>
      </c>
      <c r="F9" s="3">
        <v>73</v>
      </c>
      <c r="G9" s="4">
        <v>60000</v>
      </c>
      <c r="H9" s="5">
        <v>175</v>
      </c>
      <c r="I9" s="6">
        <v>45707</v>
      </c>
      <c r="J9" s="2" t="s">
        <v>598</v>
      </c>
      <c r="K9" s="15">
        <f>PRODUCT(Table242[[#This Row],[Ticket Price]],Table242[[#This Row],[Passenger Count]])</f>
        <v>10500000</v>
      </c>
      <c r="L9" s="15">
        <f>Table242[[#This Row],[Revenue]]*(1-$Q$2)</f>
        <v>9450000</v>
      </c>
      <c r="M9" t="str">
        <f t="shared" si="0"/>
        <v>Late</v>
      </c>
      <c r="N9">
        <f>IF(Table242[[#This Row],[Performance Rating]]="On Time",1,0)</f>
        <v>0</v>
      </c>
    </row>
    <row r="10" spans="1:20" x14ac:dyDescent="0.35">
      <c r="A10" t="s">
        <v>7</v>
      </c>
      <c r="B10" t="s">
        <v>355</v>
      </c>
      <c r="C10" t="s">
        <v>584</v>
      </c>
      <c r="D10" s="2" t="s">
        <v>585</v>
      </c>
      <c r="E10" s="1" t="s">
        <v>596</v>
      </c>
      <c r="F10" s="3">
        <v>148</v>
      </c>
      <c r="G10" s="4">
        <v>35000</v>
      </c>
      <c r="H10" s="5">
        <v>149</v>
      </c>
      <c r="I10" s="6">
        <v>45837</v>
      </c>
      <c r="J10" s="2" t="s">
        <v>598</v>
      </c>
      <c r="K10" s="15">
        <f>PRODUCT(Table242[[#This Row],[Ticket Price]],Table242[[#This Row],[Passenger Count]])</f>
        <v>5215000</v>
      </c>
      <c r="L10" s="15">
        <f>Table242[[#This Row],[Revenue]]*(1-$Q$2)</f>
        <v>4693500</v>
      </c>
      <c r="M10" t="str">
        <f>IF(F10&lt;=10,"On Time",IF(F10&lt;=30,"Slight Delay","Late"))</f>
        <v>Late</v>
      </c>
      <c r="N10">
        <f>IF(Table242[[#This Row],[Performance Rating]]="On Time",1,0)</f>
        <v>0</v>
      </c>
      <c r="Q10" s="36" t="s">
        <v>619</v>
      </c>
      <c r="R10" s="36"/>
    </row>
    <row r="11" spans="1:20" x14ac:dyDescent="0.35">
      <c r="A11" t="s">
        <v>8</v>
      </c>
      <c r="B11" t="s">
        <v>356</v>
      </c>
      <c r="C11" t="s">
        <v>581</v>
      </c>
      <c r="D11" s="2" t="s">
        <v>589</v>
      </c>
      <c r="E11" s="1" t="s">
        <v>592</v>
      </c>
      <c r="F11" s="3">
        <v>98</v>
      </c>
      <c r="G11" s="4">
        <v>75000</v>
      </c>
      <c r="H11" s="5">
        <v>131</v>
      </c>
      <c r="I11" s="6">
        <v>45702</v>
      </c>
      <c r="J11" s="2" t="s">
        <v>598</v>
      </c>
      <c r="K11" s="15">
        <f>PRODUCT(Table242[[#This Row],[Ticket Price]],Table242[[#This Row],[Passenger Count]])</f>
        <v>9825000</v>
      </c>
      <c r="L11" s="15">
        <f>Table242[[#This Row],[Revenue]]*(1-$Q$2)</f>
        <v>8842500</v>
      </c>
      <c r="M11" t="str">
        <f t="shared" si="0"/>
        <v>Late</v>
      </c>
      <c r="N11">
        <f>IF(Table242[[#This Row],[Performance Rating]]="On Time",1,0)</f>
        <v>0</v>
      </c>
      <c r="Q11" s="28" t="s">
        <v>604</v>
      </c>
      <c r="R11" s="28" t="s">
        <v>609</v>
      </c>
    </row>
    <row r="12" spans="1:20" x14ac:dyDescent="0.35">
      <c r="A12" t="s">
        <v>9</v>
      </c>
      <c r="B12" t="s">
        <v>357</v>
      </c>
      <c r="C12" t="s">
        <v>583</v>
      </c>
      <c r="D12" s="2" t="s">
        <v>590</v>
      </c>
      <c r="E12" s="1" t="s">
        <v>593</v>
      </c>
      <c r="F12" s="3">
        <v>75</v>
      </c>
      <c r="G12" s="4">
        <v>30000</v>
      </c>
      <c r="H12" s="5">
        <v>96</v>
      </c>
      <c r="I12" s="6">
        <v>45747</v>
      </c>
      <c r="J12" s="2" t="s">
        <v>597</v>
      </c>
      <c r="K12" s="15">
        <f>PRODUCT(Table242[[#This Row],[Ticket Price]],Table242[[#This Row],[Passenger Count]])</f>
        <v>2880000</v>
      </c>
      <c r="L12" s="15">
        <f>Table242[[#This Row],[Revenue]]*(1-$Q$2)</f>
        <v>2592000</v>
      </c>
      <c r="M12" t="str">
        <f t="shared" si="0"/>
        <v>Late</v>
      </c>
      <c r="N12">
        <f>IF(Table242[[#This Row],[Performance Rating]]="On Time",1,0)</f>
        <v>0</v>
      </c>
      <c r="Q12" s="22" t="s">
        <v>375</v>
      </c>
      <c r="R12" s="23">
        <f>_xlfn.XLOOKUP(Q12,B:B,G:G,"Not found",0)</f>
        <v>90000</v>
      </c>
    </row>
    <row r="13" spans="1:20" x14ac:dyDescent="0.35">
      <c r="A13" t="s">
        <v>10</v>
      </c>
      <c r="B13" t="s">
        <v>358</v>
      </c>
      <c r="C13" t="s">
        <v>585</v>
      </c>
      <c r="D13" s="2" t="s">
        <v>591</v>
      </c>
      <c r="E13" s="1" t="s">
        <v>596</v>
      </c>
      <c r="F13" s="3">
        <v>33</v>
      </c>
      <c r="G13" s="4">
        <v>145000</v>
      </c>
      <c r="H13" s="5">
        <v>159</v>
      </c>
      <c r="I13" s="6">
        <v>45782</v>
      </c>
      <c r="J13" s="2" t="s">
        <v>597</v>
      </c>
      <c r="K13" s="15">
        <f>PRODUCT(Table242[[#This Row],[Ticket Price]],Table242[[#This Row],[Passenger Count]])</f>
        <v>23055000</v>
      </c>
      <c r="L13" s="15">
        <f>Table242[[#This Row],[Revenue]]*(1-$Q$2)</f>
        <v>20749500</v>
      </c>
      <c r="M13" t="str">
        <f t="shared" si="0"/>
        <v>Late</v>
      </c>
      <c r="N13">
        <f>IF(Table242[[#This Row],[Performance Rating]]="On Time",1,0)</f>
        <v>0</v>
      </c>
    </row>
    <row r="14" spans="1:20" x14ac:dyDescent="0.35">
      <c r="A14" t="s">
        <v>11</v>
      </c>
      <c r="B14" t="s">
        <v>359</v>
      </c>
      <c r="C14" t="s">
        <v>586</v>
      </c>
      <c r="D14" s="2" t="s">
        <v>585</v>
      </c>
      <c r="E14" s="1" t="s">
        <v>596</v>
      </c>
      <c r="F14" s="3">
        <v>164</v>
      </c>
      <c r="G14" s="4">
        <v>140000</v>
      </c>
      <c r="H14" s="5">
        <v>103</v>
      </c>
      <c r="I14" s="6">
        <v>45755</v>
      </c>
      <c r="J14" s="2" t="s">
        <v>597</v>
      </c>
      <c r="K14" s="15">
        <f>PRODUCT(Table242[[#This Row],[Ticket Price]],Table242[[#This Row],[Passenger Count]])</f>
        <v>14420000</v>
      </c>
      <c r="L14" s="15">
        <f>Table242[[#This Row],[Revenue]]*(1-$Q$2)</f>
        <v>12978000</v>
      </c>
      <c r="M14" t="str">
        <f t="shared" si="0"/>
        <v>Late</v>
      </c>
      <c r="N14">
        <f>IF(Table242[[#This Row],[Performance Rating]]="On Time",1,0)</f>
        <v>0</v>
      </c>
    </row>
    <row r="15" spans="1:20" x14ac:dyDescent="0.35">
      <c r="A15" t="s">
        <v>12</v>
      </c>
      <c r="B15" t="s">
        <v>360</v>
      </c>
      <c r="C15" t="s">
        <v>585</v>
      </c>
      <c r="D15" s="2" t="s">
        <v>582</v>
      </c>
      <c r="E15" s="1" t="s">
        <v>592</v>
      </c>
      <c r="F15" s="3">
        <v>138</v>
      </c>
      <c r="G15" s="4">
        <v>145000</v>
      </c>
      <c r="H15" s="5">
        <v>141</v>
      </c>
      <c r="I15" s="6">
        <v>45811</v>
      </c>
      <c r="J15" s="2" t="s">
        <v>597</v>
      </c>
      <c r="K15" s="15">
        <f>PRODUCT(Table242[[#This Row],[Ticket Price]],Table242[[#This Row],[Passenger Count]])</f>
        <v>20445000</v>
      </c>
      <c r="L15" s="15">
        <f>Table242[[#This Row],[Revenue]]*(1-$Q$2)</f>
        <v>18400500</v>
      </c>
      <c r="M15" t="str">
        <f t="shared" si="0"/>
        <v>Late</v>
      </c>
      <c r="N15">
        <f>IF(Table242[[#This Row],[Performance Rating]]="On Time",1,0)</f>
        <v>0</v>
      </c>
      <c r="Q15" s="36" t="s">
        <v>621</v>
      </c>
      <c r="R15" s="36"/>
    </row>
    <row r="16" spans="1:20" x14ac:dyDescent="0.35">
      <c r="A16" t="s">
        <v>13</v>
      </c>
      <c r="B16" t="s">
        <v>361</v>
      </c>
      <c r="C16" t="s">
        <v>585</v>
      </c>
      <c r="D16" s="2" t="s">
        <v>590</v>
      </c>
      <c r="E16" s="1" t="s">
        <v>592</v>
      </c>
      <c r="F16" s="3">
        <v>45</v>
      </c>
      <c r="G16" s="4">
        <v>100000</v>
      </c>
      <c r="H16" s="5">
        <v>121</v>
      </c>
      <c r="I16" s="6">
        <v>45813</v>
      </c>
      <c r="J16" s="2" t="s">
        <v>598</v>
      </c>
      <c r="K16" s="15">
        <f>PRODUCT(Table242[[#This Row],[Ticket Price]],Table242[[#This Row],[Passenger Count]])</f>
        <v>12100000</v>
      </c>
      <c r="L16" s="15">
        <f>Table242[[#This Row],[Revenue]]*(1-$Q$2)</f>
        <v>10890000</v>
      </c>
      <c r="M16" t="str">
        <f t="shared" si="0"/>
        <v>Late</v>
      </c>
      <c r="N16">
        <f>IF(Table242[[#This Row],[Performance Rating]]="On Time",1,0)</f>
        <v>0</v>
      </c>
      <c r="Q16" s="28" t="s">
        <v>604</v>
      </c>
      <c r="R16" s="28" t="s">
        <v>609</v>
      </c>
    </row>
    <row r="17" spans="1:18" x14ac:dyDescent="0.35">
      <c r="A17" t="s">
        <v>599</v>
      </c>
      <c r="B17" t="s">
        <v>362</v>
      </c>
      <c r="C17" t="s">
        <v>581</v>
      </c>
      <c r="D17" s="2" t="s">
        <v>583</v>
      </c>
      <c r="E17" s="1" t="s">
        <v>593</v>
      </c>
      <c r="F17" s="3">
        <v>22</v>
      </c>
      <c r="G17" s="4">
        <v>90000</v>
      </c>
      <c r="H17" s="5">
        <v>72</v>
      </c>
      <c r="I17" s="6">
        <v>45724</v>
      </c>
      <c r="J17" s="2" t="s">
        <v>597</v>
      </c>
      <c r="K17" s="15">
        <f>PRODUCT(Table242[[#This Row],[Ticket Price]],Table242[[#This Row],[Passenger Count]])</f>
        <v>6480000</v>
      </c>
      <c r="L17" s="15">
        <f>Table242[[#This Row],[Revenue]]*(1-$Q$2)</f>
        <v>5832000</v>
      </c>
      <c r="M17" t="str">
        <f t="shared" si="0"/>
        <v>Slight Delay</v>
      </c>
      <c r="N17">
        <f>IF(Table242[[#This Row],[Performance Rating]]="On Time",1,0)</f>
        <v>0</v>
      </c>
      <c r="Q17" s="22" t="s">
        <v>347</v>
      </c>
      <c r="R17" s="23">
        <f>INDEX(Table242[],1,7)</f>
        <v>140000</v>
      </c>
    </row>
    <row r="18" spans="1:18" x14ac:dyDescent="0.35">
      <c r="A18" t="s">
        <v>14</v>
      </c>
      <c r="B18" t="s">
        <v>363</v>
      </c>
      <c r="C18" t="s">
        <v>584</v>
      </c>
      <c r="D18" s="2" t="s">
        <v>587</v>
      </c>
      <c r="E18" s="1" t="s">
        <v>595</v>
      </c>
      <c r="F18" s="3">
        <v>15</v>
      </c>
      <c r="G18" s="4">
        <v>70000</v>
      </c>
      <c r="H18" s="5">
        <v>71</v>
      </c>
      <c r="I18" s="6">
        <v>45776</v>
      </c>
      <c r="J18" s="2" t="s">
        <v>598</v>
      </c>
      <c r="K18" s="15">
        <f>PRODUCT(Table242[[#This Row],[Ticket Price]],Table242[[#This Row],[Passenger Count]])</f>
        <v>4970000</v>
      </c>
      <c r="L18" s="15">
        <f>Table242[[#This Row],[Revenue]]*(1-$Q$2)</f>
        <v>4473000</v>
      </c>
      <c r="M18" t="str">
        <f t="shared" si="0"/>
        <v>Slight Delay</v>
      </c>
      <c r="N18">
        <f>IF(Table242[[#This Row],[Performance Rating]]="On Time",1,0)</f>
        <v>0</v>
      </c>
    </row>
    <row r="19" spans="1:18" x14ac:dyDescent="0.35">
      <c r="A19" t="s">
        <v>15</v>
      </c>
      <c r="B19" t="s">
        <v>364</v>
      </c>
      <c r="C19" t="s">
        <v>586</v>
      </c>
      <c r="D19" s="2" t="s">
        <v>583</v>
      </c>
      <c r="E19" s="1" t="s">
        <v>593</v>
      </c>
      <c r="F19" s="3">
        <v>102</v>
      </c>
      <c r="G19" s="4">
        <v>30000</v>
      </c>
      <c r="H19" s="5">
        <v>118</v>
      </c>
      <c r="I19" s="6">
        <v>45787</v>
      </c>
      <c r="J19" s="2" t="s">
        <v>597</v>
      </c>
      <c r="K19" s="15">
        <f>PRODUCT(Table242[[#This Row],[Ticket Price]],Table242[[#This Row],[Passenger Count]])</f>
        <v>3540000</v>
      </c>
      <c r="L19" s="15">
        <f>Table242[[#This Row],[Revenue]]*(1-$Q$2)</f>
        <v>3186000</v>
      </c>
      <c r="M19" t="str">
        <f t="shared" si="0"/>
        <v>Late</v>
      </c>
      <c r="N19">
        <f>IF(Table242[[#This Row],[Performance Rating]]="On Time",1,0)</f>
        <v>0</v>
      </c>
    </row>
    <row r="20" spans="1:18" x14ac:dyDescent="0.35">
      <c r="A20" t="s">
        <v>16</v>
      </c>
      <c r="B20" t="s">
        <v>365</v>
      </c>
      <c r="C20" t="s">
        <v>586</v>
      </c>
      <c r="D20" s="2" t="s">
        <v>582</v>
      </c>
      <c r="E20" s="1" t="s">
        <v>595</v>
      </c>
      <c r="F20" s="3">
        <v>90</v>
      </c>
      <c r="G20" s="4">
        <v>60000</v>
      </c>
      <c r="H20" s="5">
        <v>171</v>
      </c>
      <c r="I20" s="6">
        <v>45735</v>
      </c>
      <c r="J20" s="2" t="s">
        <v>597</v>
      </c>
      <c r="K20" s="15">
        <f>PRODUCT(Table242[[#This Row],[Ticket Price]],Table242[[#This Row],[Passenger Count]])</f>
        <v>10260000</v>
      </c>
      <c r="L20" s="15">
        <f>Table242[[#This Row],[Revenue]]*(1-$Q$2)</f>
        <v>9234000</v>
      </c>
      <c r="M20" t="str">
        <f t="shared" si="0"/>
        <v>Late</v>
      </c>
      <c r="N20">
        <f>IF(Table242[[#This Row],[Performance Rating]]="On Time",1,0)</f>
        <v>0</v>
      </c>
      <c r="Q20" s="36" t="s">
        <v>620</v>
      </c>
      <c r="R20" s="36"/>
    </row>
    <row r="21" spans="1:18" x14ac:dyDescent="0.35">
      <c r="A21" t="s">
        <v>17</v>
      </c>
      <c r="B21" t="s">
        <v>366</v>
      </c>
      <c r="C21" t="s">
        <v>586</v>
      </c>
      <c r="D21" s="2" t="s">
        <v>584</v>
      </c>
      <c r="E21" s="1" t="s">
        <v>594</v>
      </c>
      <c r="F21" s="3">
        <v>34</v>
      </c>
      <c r="G21" s="4">
        <v>75000</v>
      </c>
      <c r="H21" s="5">
        <v>67</v>
      </c>
      <c r="I21" s="6">
        <v>45692</v>
      </c>
      <c r="J21" s="2" t="s">
        <v>598</v>
      </c>
      <c r="K21" s="15">
        <f>PRODUCT(Table242[[#This Row],[Ticket Price]],Table242[[#This Row],[Passenger Count]])</f>
        <v>5025000</v>
      </c>
      <c r="L21" s="15">
        <f>Table242[[#This Row],[Revenue]]*(1-$Q$2)</f>
        <v>4522500</v>
      </c>
      <c r="M21" t="str">
        <f t="shared" si="0"/>
        <v>Late</v>
      </c>
      <c r="N21">
        <f>IF(Table242[[#This Row],[Performance Rating]]="On Time",1,0)</f>
        <v>0</v>
      </c>
      <c r="Q21" s="28" t="s">
        <v>604</v>
      </c>
      <c r="R21" s="24" t="s">
        <v>610</v>
      </c>
    </row>
    <row r="22" spans="1:18" x14ac:dyDescent="0.35">
      <c r="A22" t="s">
        <v>18</v>
      </c>
      <c r="B22" t="s">
        <v>367</v>
      </c>
      <c r="C22" t="s">
        <v>584</v>
      </c>
      <c r="D22" s="2" t="s">
        <v>587</v>
      </c>
      <c r="E22" s="1" t="s">
        <v>596</v>
      </c>
      <c r="F22" s="3">
        <v>97</v>
      </c>
      <c r="G22" s="4">
        <v>135000</v>
      </c>
      <c r="H22" s="5">
        <v>70</v>
      </c>
      <c r="I22" s="6">
        <v>45764</v>
      </c>
      <c r="J22" s="2" t="s">
        <v>597</v>
      </c>
      <c r="K22" s="15">
        <f>PRODUCT(Table242[[#This Row],[Ticket Price]],Table242[[#This Row],[Passenger Count]])</f>
        <v>9450000</v>
      </c>
      <c r="L22" s="15">
        <f>Table242[[#This Row],[Revenue]]*(1-$Q$2)</f>
        <v>8505000</v>
      </c>
      <c r="M22" t="str">
        <f t="shared" si="0"/>
        <v>Late</v>
      </c>
      <c r="N22">
        <f>IF(Table242[[#This Row],[Performance Rating]]="On Time",1,0)</f>
        <v>0</v>
      </c>
      <c r="Q22" s="22" t="s">
        <v>375</v>
      </c>
      <c r="R22" s="23">
        <f>INDEX(Table242[],MATCH(Q22,Table242[Flight Number],0),MATCH(R21,Table242[#Headers],0))</f>
        <v>164</v>
      </c>
    </row>
    <row r="23" spans="1:18" x14ac:dyDescent="0.35">
      <c r="A23" t="s">
        <v>19</v>
      </c>
      <c r="B23" t="s">
        <v>368</v>
      </c>
      <c r="C23" t="s">
        <v>585</v>
      </c>
      <c r="D23" s="2" t="s">
        <v>590</v>
      </c>
      <c r="E23" s="1" t="s">
        <v>592</v>
      </c>
      <c r="F23" s="3">
        <v>136</v>
      </c>
      <c r="G23" s="4">
        <v>55000</v>
      </c>
      <c r="H23" s="5">
        <v>92</v>
      </c>
      <c r="I23" s="6">
        <v>45728</v>
      </c>
      <c r="J23" s="2" t="s">
        <v>598</v>
      </c>
      <c r="K23" s="15">
        <f>PRODUCT(Table242[[#This Row],[Ticket Price]],Table242[[#This Row],[Passenger Count]])</f>
        <v>5060000</v>
      </c>
      <c r="L23" s="15">
        <f>Table242[[#This Row],[Revenue]]*(1-$Q$2)</f>
        <v>4554000</v>
      </c>
      <c r="M23" t="str">
        <f t="shared" si="0"/>
        <v>Late</v>
      </c>
      <c r="N23">
        <f>IF(Table242[[#This Row],[Performance Rating]]="On Time",1,0)</f>
        <v>0</v>
      </c>
    </row>
    <row r="24" spans="1:18" x14ac:dyDescent="0.35">
      <c r="A24" t="s">
        <v>20</v>
      </c>
      <c r="B24" t="s">
        <v>369</v>
      </c>
      <c r="C24" t="s">
        <v>584</v>
      </c>
      <c r="D24" s="2" t="s">
        <v>587</v>
      </c>
      <c r="E24" s="1" t="s">
        <v>596</v>
      </c>
      <c r="F24" s="3">
        <v>164</v>
      </c>
      <c r="G24" s="4">
        <v>85000</v>
      </c>
      <c r="H24" s="5">
        <v>165</v>
      </c>
      <c r="I24" s="6">
        <v>45807</v>
      </c>
      <c r="J24" s="2" t="s">
        <v>598</v>
      </c>
      <c r="K24" s="15">
        <f>PRODUCT(Table242[[#This Row],[Ticket Price]],Table242[[#This Row],[Passenger Count]])</f>
        <v>14025000</v>
      </c>
      <c r="L24" s="15">
        <f>Table242[[#This Row],[Revenue]]*(1-$Q$2)</f>
        <v>12622500</v>
      </c>
      <c r="M24" t="str">
        <f t="shared" si="0"/>
        <v>Late</v>
      </c>
      <c r="N24">
        <f>IF(Table242[[#This Row],[Performance Rating]]="On Time",1,0)</f>
        <v>0</v>
      </c>
    </row>
    <row r="25" spans="1:18" x14ac:dyDescent="0.35">
      <c r="A25" t="s">
        <v>21</v>
      </c>
      <c r="B25" t="s">
        <v>370</v>
      </c>
      <c r="C25" t="s">
        <v>582</v>
      </c>
      <c r="D25" s="2" t="s">
        <v>589</v>
      </c>
      <c r="E25" s="1" t="s">
        <v>593</v>
      </c>
      <c r="F25" s="3">
        <v>68</v>
      </c>
      <c r="G25" s="4">
        <v>135000</v>
      </c>
      <c r="H25" s="5">
        <v>177</v>
      </c>
      <c r="I25" s="6">
        <v>45817</v>
      </c>
      <c r="J25" s="2" t="s">
        <v>597</v>
      </c>
      <c r="K25" s="15">
        <f>PRODUCT(Table242[[#This Row],[Ticket Price]],Table242[[#This Row],[Passenger Count]])</f>
        <v>23895000</v>
      </c>
      <c r="L25" s="15">
        <f>Table242[[#This Row],[Revenue]]*(1-$Q$2)</f>
        <v>21505500</v>
      </c>
      <c r="M25" t="str">
        <f t="shared" si="0"/>
        <v>Late</v>
      </c>
      <c r="N25">
        <f>IF(Table242[[#This Row],[Performance Rating]]="On Time",1,0)</f>
        <v>0</v>
      </c>
    </row>
    <row r="26" spans="1:18" x14ac:dyDescent="0.35">
      <c r="A26" t="s">
        <v>22</v>
      </c>
      <c r="B26" t="s">
        <v>371</v>
      </c>
      <c r="C26" t="s">
        <v>586</v>
      </c>
      <c r="D26" s="2" t="s">
        <v>585</v>
      </c>
      <c r="E26" s="1" t="s">
        <v>596</v>
      </c>
      <c r="F26" s="3">
        <v>144</v>
      </c>
      <c r="G26" s="4">
        <v>135000</v>
      </c>
      <c r="H26" s="5">
        <v>167</v>
      </c>
      <c r="I26" s="6">
        <v>45769</v>
      </c>
      <c r="J26" s="2" t="s">
        <v>597</v>
      </c>
      <c r="K26" s="15">
        <f>PRODUCT(Table242[[#This Row],[Ticket Price]],Table242[[#This Row],[Passenger Count]])</f>
        <v>22545000</v>
      </c>
      <c r="L26" s="15">
        <f>Table242[[#This Row],[Revenue]]*(1-$Q$2)</f>
        <v>20290500</v>
      </c>
      <c r="M26" t="str">
        <f t="shared" si="0"/>
        <v>Late</v>
      </c>
      <c r="N26">
        <f>IF(Table242[[#This Row],[Performance Rating]]="On Time",1,0)</f>
        <v>0</v>
      </c>
      <c r="Q26" s="36" t="s">
        <v>622</v>
      </c>
      <c r="R26" s="36"/>
    </row>
    <row r="27" spans="1:18" x14ac:dyDescent="0.35">
      <c r="A27" t="s">
        <v>23</v>
      </c>
      <c r="B27" t="s">
        <v>372</v>
      </c>
      <c r="C27" t="s">
        <v>582</v>
      </c>
      <c r="D27" s="2" t="s">
        <v>583</v>
      </c>
      <c r="E27" s="1" t="s">
        <v>595</v>
      </c>
      <c r="F27" s="3">
        <v>7</v>
      </c>
      <c r="G27" s="4">
        <v>35000</v>
      </c>
      <c r="H27" s="5">
        <v>78</v>
      </c>
      <c r="I27" s="6">
        <v>45726</v>
      </c>
      <c r="J27" s="2" t="s">
        <v>598</v>
      </c>
      <c r="K27" s="15">
        <f>PRODUCT(Table242[[#This Row],[Ticket Price]],Table242[[#This Row],[Passenger Count]])</f>
        <v>2730000</v>
      </c>
      <c r="L27" s="15">
        <f>Table242[[#This Row],[Revenue]]*(1-$Q$2)</f>
        <v>2457000</v>
      </c>
      <c r="M27" t="str">
        <f t="shared" si="0"/>
        <v>On Time</v>
      </c>
      <c r="N27">
        <f>IF(Table242[[#This Row],[Performance Rating]]="On Time",1,0)</f>
        <v>1</v>
      </c>
      <c r="Q27" s="22" t="s">
        <v>624</v>
      </c>
      <c r="R27" s="25">
        <f>SUBTOTAL(9,Table242[Passenger Count])</f>
        <v>41724</v>
      </c>
    </row>
    <row r="28" spans="1:18" x14ac:dyDescent="0.35">
      <c r="A28" t="s">
        <v>24</v>
      </c>
      <c r="B28" t="s">
        <v>373</v>
      </c>
      <c r="C28" t="s">
        <v>584</v>
      </c>
      <c r="D28" s="2" t="s">
        <v>587</v>
      </c>
      <c r="E28" s="1" t="s">
        <v>593</v>
      </c>
      <c r="F28" s="3">
        <v>122</v>
      </c>
      <c r="G28" s="4">
        <v>25000</v>
      </c>
      <c r="H28" s="5">
        <v>177</v>
      </c>
      <c r="I28" s="6">
        <v>45696</v>
      </c>
      <c r="J28" s="2" t="s">
        <v>598</v>
      </c>
      <c r="K28" s="15">
        <f>PRODUCT(Table242[[#This Row],[Ticket Price]],Table242[[#This Row],[Passenger Count]])</f>
        <v>4425000</v>
      </c>
      <c r="L28" s="15">
        <f>Table242[[#This Row],[Revenue]]*(1-$Q$2)</f>
        <v>3982500</v>
      </c>
      <c r="M28" t="str">
        <f t="shared" si="0"/>
        <v>Late</v>
      </c>
      <c r="N28">
        <f>IF(Table242[[#This Row],[Performance Rating]]="On Time",1,0)</f>
        <v>0</v>
      </c>
      <c r="Q28" s="22" t="s">
        <v>623</v>
      </c>
      <c r="R28" s="25">
        <f>_xlfn.AGGREGATE(9,3,Table242[Passenger Count])</f>
        <v>41724</v>
      </c>
    </row>
    <row r="29" spans="1:18" x14ac:dyDescent="0.35">
      <c r="A29" t="s">
        <v>25</v>
      </c>
      <c r="B29" t="s">
        <v>374</v>
      </c>
      <c r="C29" t="s">
        <v>585</v>
      </c>
      <c r="D29" s="2" t="s">
        <v>591</v>
      </c>
      <c r="E29" s="1" t="s">
        <v>594</v>
      </c>
      <c r="F29" s="3">
        <v>6</v>
      </c>
      <c r="G29" s="4">
        <v>125000</v>
      </c>
      <c r="H29" s="5">
        <v>117</v>
      </c>
      <c r="I29" s="6">
        <v>45663</v>
      </c>
      <c r="J29" s="2" t="s">
        <v>597</v>
      </c>
      <c r="K29" s="15">
        <f>PRODUCT(Table242[[#This Row],[Ticket Price]],Table242[[#This Row],[Passenger Count]])</f>
        <v>14625000</v>
      </c>
      <c r="L29" s="15">
        <f>Table242[[#This Row],[Revenue]]*(1-$Q$2)</f>
        <v>13162500</v>
      </c>
      <c r="M29" t="str">
        <f t="shared" si="0"/>
        <v>On Time</v>
      </c>
      <c r="N29">
        <f>IF(Table242[[#This Row],[Performance Rating]]="On Time",1,0)</f>
        <v>1</v>
      </c>
    </row>
    <row r="30" spans="1:18" x14ac:dyDescent="0.35">
      <c r="A30" t="s">
        <v>26</v>
      </c>
      <c r="B30" t="s">
        <v>375</v>
      </c>
      <c r="C30" t="s">
        <v>587</v>
      </c>
      <c r="D30" s="2" t="s">
        <v>591</v>
      </c>
      <c r="E30" s="1" t="s">
        <v>594</v>
      </c>
      <c r="F30" s="3">
        <v>128</v>
      </c>
      <c r="G30" s="4">
        <v>90000</v>
      </c>
      <c r="H30" s="5">
        <v>164</v>
      </c>
      <c r="I30" s="6">
        <v>45804</v>
      </c>
      <c r="J30" s="2" t="s">
        <v>597</v>
      </c>
      <c r="K30" s="15">
        <f>PRODUCT(Table242[[#This Row],[Ticket Price]],Table242[[#This Row],[Passenger Count]])</f>
        <v>14760000</v>
      </c>
      <c r="L30" s="15">
        <f>Table242[[#This Row],[Revenue]]*(1-$Q$2)</f>
        <v>13284000</v>
      </c>
      <c r="M30" t="str">
        <f t="shared" si="0"/>
        <v>Late</v>
      </c>
      <c r="N30">
        <f>IF(Table242[[#This Row],[Performance Rating]]="On Time",1,0)</f>
        <v>0</v>
      </c>
    </row>
    <row r="31" spans="1:18" x14ac:dyDescent="0.35">
      <c r="A31" t="s">
        <v>27</v>
      </c>
      <c r="B31" t="s">
        <v>376</v>
      </c>
      <c r="C31" t="s">
        <v>582</v>
      </c>
      <c r="D31" s="2" t="s">
        <v>583</v>
      </c>
      <c r="E31" s="1" t="s">
        <v>594</v>
      </c>
      <c r="F31" s="3">
        <v>41</v>
      </c>
      <c r="G31" s="4">
        <v>30000</v>
      </c>
      <c r="H31" s="5">
        <v>88</v>
      </c>
      <c r="I31" s="6">
        <v>45819</v>
      </c>
      <c r="J31" s="2" t="s">
        <v>597</v>
      </c>
      <c r="K31" s="15">
        <f>PRODUCT(Table242[[#This Row],[Ticket Price]],Table242[[#This Row],[Passenger Count]])</f>
        <v>2640000</v>
      </c>
      <c r="L31" s="15">
        <f>Table242[[#This Row],[Revenue]]*(1-$Q$2)</f>
        <v>2376000</v>
      </c>
      <c r="M31" t="str">
        <f t="shared" si="0"/>
        <v>Late</v>
      </c>
      <c r="N31">
        <f>IF(Table242[[#This Row],[Performance Rating]]="On Time",1,0)</f>
        <v>0</v>
      </c>
      <c r="Q31" s="36" t="s">
        <v>625</v>
      </c>
      <c r="R31" s="36"/>
    </row>
    <row r="32" spans="1:18" x14ac:dyDescent="0.35">
      <c r="A32" t="s">
        <v>28</v>
      </c>
      <c r="B32" t="s">
        <v>377</v>
      </c>
      <c r="C32" t="s">
        <v>584</v>
      </c>
      <c r="D32" s="2" t="s">
        <v>583</v>
      </c>
      <c r="E32" s="1" t="s">
        <v>595</v>
      </c>
      <c r="F32" s="3">
        <v>99</v>
      </c>
      <c r="G32" s="4">
        <v>80000</v>
      </c>
      <c r="H32" s="5">
        <v>77</v>
      </c>
      <c r="I32" s="6">
        <v>45698</v>
      </c>
      <c r="J32" s="2" t="s">
        <v>597</v>
      </c>
      <c r="K32" s="15">
        <f>PRODUCT(Table242[[#This Row],[Ticket Price]],Table242[[#This Row],[Passenger Count]])</f>
        <v>6160000</v>
      </c>
      <c r="L32" s="15">
        <f>Table242[[#This Row],[Revenue]]*(1-$Q$2)</f>
        <v>5544000</v>
      </c>
      <c r="M32" t="str">
        <f t="shared" si="0"/>
        <v>Late</v>
      </c>
      <c r="N32">
        <f>IF(Table242[[#This Row],[Performance Rating]]="On Time",1,0)</f>
        <v>0</v>
      </c>
      <c r="Q32" s="22" t="s">
        <v>624</v>
      </c>
      <c r="R32" s="25">
        <f>SUBTOTAL(1,Table242[Arrival Delay (mins)])</f>
        <v>86.462857142857146</v>
      </c>
    </row>
    <row r="33" spans="1:18" x14ac:dyDescent="0.35">
      <c r="A33" t="s">
        <v>29</v>
      </c>
      <c r="B33" t="s">
        <v>378</v>
      </c>
      <c r="C33" t="s">
        <v>587</v>
      </c>
      <c r="D33" s="2" t="s">
        <v>591</v>
      </c>
      <c r="E33" s="1" t="s">
        <v>595</v>
      </c>
      <c r="F33" s="3">
        <v>4</v>
      </c>
      <c r="G33" s="4">
        <v>140000</v>
      </c>
      <c r="H33" s="5">
        <v>106</v>
      </c>
      <c r="I33" s="6">
        <v>45731</v>
      </c>
      <c r="J33" s="2" t="s">
        <v>597</v>
      </c>
      <c r="K33" s="15">
        <f>PRODUCT(Table242[[#This Row],[Ticket Price]],Table242[[#This Row],[Passenger Count]])</f>
        <v>14840000</v>
      </c>
      <c r="L33" s="15">
        <f>Table242[[#This Row],[Revenue]]*(1-$Q$2)</f>
        <v>13356000</v>
      </c>
      <c r="M33" t="str">
        <f t="shared" si="0"/>
        <v>On Time</v>
      </c>
      <c r="N33">
        <f>IF(Table242[[#This Row],[Performance Rating]]="On Time",1,0)</f>
        <v>1</v>
      </c>
      <c r="Q33" s="22" t="s">
        <v>623</v>
      </c>
      <c r="R33" s="25">
        <f>_xlfn.AGGREGATE(1,3,Table242[Arrival Delay (mins)])</f>
        <v>86.462857142857146</v>
      </c>
    </row>
    <row r="34" spans="1:18" x14ac:dyDescent="0.35">
      <c r="A34" t="s">
        <v>30</v>
      </c>
      <c r="B34" t="s">
        <v>379</v>
      </c>
      <c r="C34" t="s">
        <v>587</v>
      </c>
      <c r="D34" s="2" t="s">
        <v>583</v>
      </c>
      <c r="E34" s="1" t="s">
        <v>592</v>
      </c>
      <c r="F34" s="3">
        <v>32</v>
      </c>
      <c r="G34" s="4">
        <v>100000</v>
      </c>
      <c r="H34" s="5">
        <v>117</v>
      </c>
      <c r="I34" s="6">
        <v>45803</v>
      </c>
      <c r="J34" s="2" t="s">
        <v>597</v>
      </c>
      <c r="K34" s="15">
        <f>PRODUCT(Table242[[#This Row],[Ticket Price]],Table242[[#This Row],[Passenger Count]])</f>
        <v>11700000</v>
      </c>
      <c r="L34" s="15">
        <f>Table242[[#This Row],[Revenue]]*(1-$Q$2)</f>
        <v>10530000</v>
      </c>
      <c r="M34" t="str">
        <f t="shared" si="0"/>
        <v>Late</v>
      </c>
      <c r="N34">
        <f>IF(Table242[[#This Row],[Performance Rating]]="On Time",1,0)</f>
        <v>0</v>
      </c>
    </row>
    <row r="35" spans="1:18" x14ac:dyDescent="0.35">
      <c r="A35" t="s">
        <v>31</v>
      </c>
      <c r="B35" t="s">
        <v>380</v>
      </c>
      <c r="C35" t="s">
        <v>581</v>
      </c>
      <c r="D35" s="2" t="s">
        <v>591</v>
      </c>
      <c r="E35" s="1" t="s">
        <v>596</v>
      </c>
      <c r="F35" s="3">
        <v>177</v>
      </c>
      <c r="G35" s="4">
        <v>90000</v>
      </c>
      <c r="H35" s="5">
        <v>153</v>
      </c>
      <c r="I35" s="6">
        <v>45773</v>
      </c>
      <c r="J35" s="2" t="s">
        <v>598</v>
      </c>
      <c r="K35" s="15">
        <f>PRODUCT(Table242[[#This Row],[Ticket Price]],Table242[[#This Row],[Passenger Count]])</f>
        <v>13770000</v>
      </c>
      <c r="L35" s="15">
        <f>Table242[[#This Row],[Revenue]]*(1-$Q$2)</f>
        <v>12393000</v>
      </c>
      <c r="M35" t="str">
        <f t="shared" si="0"/>
        <v>Late</v>
      </c>
      <c r="N35">
        <f>IF(Table242[[#This Row],[Performance Rating]]="On Time",1,0)</f>
        <v>0</v>
      </c>
    </row>
    <row r="36" spans="1:18" x14ac:dyDescent="0.35">
      <c r="A36" t="s">
        <v>32</v>
      </c>
      <c r="B36" t="s">
        <v>381</v>
      </c>
      <c r="C36" t="s">
        <v>581</v>
      </c>
      <c r="D36" s="2" t="s">
        <v>582</v>
      </c>
      <c r="E36" s="1" t="s">
        <v>593</v>
      </c>
      <c r="F36" s="3">
        <v>110</v>
      </c>
      <c r="G36" s="4">
        <v>25000</v>
      </c>
      <c r="H36" s="5">
        <v>107</v>
      </c>
      <c r="I36" s="6">
        <v>45743</v>
      </c>
      <c r="J36" s="2" t="s">
        <v>598</v>
      </c>
      <c r="K36" s="15">
        <f>PRODUCT(Table242[[#This Row],[Ticket Price]],Table242[[#This Row],[Passenger Count]])</f>
        <v>2675000</v>
      </c>
      <c r="L36" s="15">
        <f>Table242[[#This Row],[Revenue]]*(1-$Q$2)</f>
        <v>2407500</v>
      </c>
      <c r="M36" t="str">
        <f t="shared" si="0"/>
        <v>Late</v>
      </c>
      <c r="N36">
        <f>IF(Table242[[#This Row],[Performance Rating]]="On Time",1,0)</f>
        <v>0</v>
      </c>
    </row>
    <row r="37" spans="1:18" x14ac:dyDescent="0.35">
      <c r="A37" t="s">
        <v>33</v>
      </c>
      <c r="B37" t="s">
        <v>382</v>
      </c>
      <c r="C37" t="s">
        <v>586</v>
      </c>
      <c r="D37" s="2" t="s">
        <v>584</v>
      </c>
      <c r="E37" s="1" t="s">
        <v>596</v>
      </c>
      <c r="F37" s="3">
        <v>95</v>
      </c>
      <c r="G37" s="4">
        <v>60000</v>
      </c>
      <c r="H37" s="5">
        <v>128</v>
      </c>
      <c r="I37" s="6">
        <v>45750</v>
      </c>
      <c r="J37" s="2" t="s">
        <v>598</v>
      </c>
      <c r="K37" s="15">
        <f>PRODUCT(Table242[[#This Row],[Ticket Price]],Table242[[#This Row],[Passenger Count]])</f>
        <v>7680000</v>
      </c>
      <c r="L37" s="15">
        <f>Table242[[#This Row],[Revenue]]*(1-$Q$2)</f>
        <v>6912000</v>
      </c>
      <c r="M37" t="str">
        <f t="shared" si="0"/>
        <v>Late</v>
      </c>
      <c r="N37">
        <f>IF(Table242[[#This Row],[Performance Rating]]="On Time",1,0)</f>
        <v>0</v>
      </c>
    </row>
    <row r="38" spans="1:18" x14ac:dyDescent="0.35">
      <c r="A38" t="s">
        <v>34</v>
      </c>
      <c r="B38" t="s">
        <v>348</v>
      </c>
      <c r="C38" t="s">
        <v>582</v>
      </c>
      <c r="D38" s="2" t="s">
        <v>587</v>
      </c>
      <c r="E38" s="1" t="s">
        <v>594</v>
      </c>
      <c r="F38" s="3">
        <v>69</v>
      </c>
      <c r="G38" s="4">
        <v>55000</v>
      </c>
      <c r="H38" s="5">
        <v>176</v>
      </c>
      <c r="I38" s="6">
        <v>45779</v>
      </c>
      <c r="J38" s="2" t="s">
        <v>597</v>
      </c>
      <c r="K38" s="15">
        <f>PRODUCT(Table242[[#This Row],[Ticket Price]],Table242[[#This Row],[Passenger Count]])</f>
        <v>9680000</v>
      </c>
      <c r="L38" s="15">
        <f>Table242[[#This Row],[Revenue]]*(1-$Q$2)</f>
        <v>8712000</v>
      </c>
      <c r="M38" t="str">
        <f t="shared" si="0"/>
        <v>Late</v>
      </c>
      <c r="N38">
        <f>IF(Table242[[#This Row],[Performance Rating]]="On Time",1,0)</f>
        <v>0</v>
      </c>
    </row>
    <row r="39" spans="1:18" x14ac:dyDescent="0.35">
      <c r="A39" t="s">
        <v>35</v>
      </c>
      <c r="B39" t="s">
        <v>356</v>
      </c>
      <c r="C39" t="s">
        <v>581</v>
      </c>
      <c r="D39" s="2" t="s">
        <v>590</v>
      </c>
      <c r="E39" s="1" t="s">
        <v>593</v>
      </c>
      <c r="F39" s="3">
        <v>34</v>
      </c>
      <c r="G39" s="4">
        <v>130000</v>
      </c>
      <c r="H39" s="5">
        <v>158</v>
      </c>
      <c r="I39" s="6">
        <v>45682</v>
      </c>
      <c r="J39" s="2" t="s">
        <v>597</v>
      </c>
      <c r="K39" s="15">
        <f>PRODUCT(Table242[[#This Row],[Ticket Price]],Table242[[#This Row],[Passenger Count]])</f>
        <v>20540000</v>
      </c>
      <c r="L39" s="15">
        <f>Table242[[#This Row],[Revenue]]*(1-$Q$2)</f>
        <v>18486000</v>
      </c>
      <c r="M39" t="str">
        <f t="shared" si="0"/>
        <v>Late</v>
      </c>
      <c r="N39">
        <f>IF(Table242[[#This Row],[Performance Rating]]="On Time",1,0)</f>
        <v>0</v>
      </c>
    </row>
    <row r="40" spans="1:18" x14ac:dyDescent="0.35">
      <c r="A40" t="s">
        <v>36</v>
      </c>
      <c r="B40" t="s">
        <v>383</v>
      </c>
      <c r="C40" t="s">
        <v>585</v>
      </c>
      <c r="D40" s="2" t="s">
        <v>590</v>
      </c>
      <c r="E40" s="1" t="s">
        <v>595</v>
      </c>
      <c r="F40" s="3">
        <v>98</v>
      </c>
      <c r="G40" s="4">
        <v>100000</v>
      </c>
      <c r="H40" s="5">
        <v>149</v>
      </c>
      <c r="I40" s="6">
        <v>45772</v>
      </c>
      <c r="J40" s="2" t="s">
        <v>598</v>
      </c>
      <c r="K40" s="15">
        <f>PRODUCT(Table242[[#This Row],[Ticket Price]],Table242[[#This Row],[Passenger Count]])</f>
        <v>14900000</v>
      </c>
      <c r="L40" s="15">
        <f>Table242[[#This Row],[Revenue]]*(1-$Q$2)</f>
        <v>13410000</v>
      </c>
      <c r="M40" t="str">
        <f t="shared" si="0"/>
        <v>Late</v>
      </c>
      <c r="N40">
        <f>IF(Table242[[#This Row],[Performance Rating]]="On Time",1,0)</f>
        <v>0</v>
      </c>
    </row>
    <row r="41" spans="1:18" x14ac:dyDescent="0.35">
      <c r="A41" t="s">
        <v>37</v>
      </c>
      <c r="B41" t="s">
        <v>384</v>
      </c>
      <c r="C41" t="s">
        <v>584</v>
      </c>
      <c r="D41" s="2" t="s">
        <v>582</v>
      </c>
      <c r="E41" s="1" t="s">
        <v>593</v>
      </c>
      <c r="F41" s="3">
        <v>101</v>
      </c>
      <c r="G41" s="4">
        <v>140000</v>
      </c>
      <c r="H41" s="5">
        <v>142</v>
      </c>
      <c r="I41" s="6">
        <v>45726</v>
      </c>
      <c r="J41" s="2" t="s">
        <v>598</v>
      </c>
      <c r="K41" s="15">
        <f>PRODUCT(Table242[[#This Row],[Ticket Price]],Table242[[#This Row],[Passenger Count]])</f>
        <v>19880000</v>
      </c>
      <c r="L41" s="15">
        <f>Table242[[#This Row],[Revenue]]*(1-$Q$2)</f>
        <v>17892000</v>
      </c>
      <c r="M41" t="str">
        <f t="shared" si="0"/>
        <v>Late</v>
      </c>
      <c r="N41">
        <f>IF(Table242[[#This Row],[Performance Rating]]="On Time",1,0)</f>
        <v>0</v>
      </c>
    </row>
    <row r="42" spans="1:18" x14ac:dyDescent="0.35">
      <c r="A42" t="s">
        <v>38</v>
      </c>
      <c r="B42" t="s">
        <v>385</v>
      </c>
      <c r="C42" t="s">
        <v>582</v>
      </c>
      <c r="D42" s="2" t="s">
        <v>583</v>
      </c>
      <c r="E42" s="1" t="s">
        <v>592</v>
      </c>
      <c r="F42" s="3">
        <v>94</v>
      </c>
      <c r="G42" s="4">
        <v>105000</v>
      </c>
      <c r="H42" s="5">
        <v>121</v>
      </c>
      <c r="I42" s="6">
        <v>45827</v>
      </c>
      <c r="J42" s="2" t="s">
        <v>597</v>
      </c>
      <c r="K42" s="15">
        <f>PRODUCT(Table242[[#This Row],[Ticket Price]],Table242[[#This Row],[Passenger Count]])</f>
        <v>12705000</v>
      </c>
      <c r="L42" s="15">
        <f>Table242[[#This Row],[Revenue]]*(1-$Q$2)</f>
        <v>11434500</v>
      </c>
      <c r="M42" t="str">
        <f t="shared" si="0"/>
        <v>Late</v>
      </c>
      <c r="N42">
        <f>IF(Table242[[#This Row],[Performance Rating]]="On Time",1,0)</f>
        <v>0</v>
      </c>
    </row>
    <row r="43" spans="1:18" x14ac:dyDescent="0.35">
      <c r="A43" t="s">
        <v>39</v>
      </c>
      <c r="B43" t="s">
        <v>374</v>
      </c>
      <c r="C43" t="s">
        <v>586</v>
      </c>
      <c r="D43" s="2" t="s">
        <v>591</v>
      </c>
      <c r="E43" s="1" t="s">
        <v>593</v>
      </c>
      <c r="F43" s="3">
        <v>7</v>
      </c>
      <c r="G43" s="4">
        <v>145000</v>
      </c>
      <c r="H43" s="5">
        <v>146</v>
      </c>
      <c r="I43" s="6">
        <v>45678</v>
      </c>
      <c r="J43" s="2" t="s">
        <v>598</v>
      </c>
      <c r="K43" s="15">
        <f>PRODUCT(Table242[[#This Row],[Ticket Price]],Table242[[#This Row],[Passenger Count]])</f>
        <v>21170000</v>
      </c>
      <c r="L43" s="15">
        <f>Table242[[#This Row],[Revenue]]*(1-$Q$2)</f>
        <v>19053000</v>
      </c>
      <c r="M43" t="str">
        <f t="shared" si="0"/>
        <v>On Time</v>
      </c>
      <c r="N43">
        <f>IF(Table242[[#This Row],[Performance Rating]]="On Time",1,0)</f>
        <v>1</v>
      </c>
    </row>
    <row r="44" spans="1:18" x14ac:dyDescent="0.35">
      <c r="A44" t="s">
        <v>40</v>
      </c>
      <c r="B44" t="s">
        <v>386</v>
      </c>
      <c r="C44" t="s">
        <v>584</v>
      </c>
      <c r="D44" s="2" t="s">
        <v>585</v>
      </c>
      <c r="E44" s="1" t="s">
        <v>595</v>
      </c>
      <c r="F44" s="3">
        <v>173</v>
      </c>
      <c r="G44" s="4">
        <v>25000</v>
      </c>
      <c r="H44" s="5">
        <v>96</v>
      </c>
      <c r="I44" s="6">
        <v>45837</v>
      </c>
      <c r="J44" s="2" t="s">
        <v>598</v>
      </c>
      <c r="K44" s="15">
        <f>PRODUCT(Table242[[#This Row],[Ticket Price]],Table242[[#This Row],[Passenger Count]])</f>
        <v>2400000</v>
      </c>
      <c r="L44" s="15">
        <f>Table242[[#This Row],[Revenue]]*(1-$Q$2)</f>
        <v>2160000</v>
      </c>
      <c r="M44" t="str">
        <f t="shared" si="0"/>
        <v>Late</v>
      </c>
      <c r="N44">
        <f>IF(Table242[[#This Row],[Performance Rating]]="On Time",1,0)</f>
        <v>0</v>
      </c>
    </row>
    <row r="45" spans="1:18" x14ac:dyDescent="0.35">
      <c r="A45" t="s">
        <v>41</v>
      </c>
      <c r="B45" t="s">
        <v>387</v>
      </c>
      <c r="C45" t="s">
        <v>583</v>
      </c>
      <c r="D45" s="2" t="s">
        <v>587</v>
      </c>
      <c r="E45" s="1" t="s">
        <v>593</v>
      </c>
      <c r="F45" s="3">
        <v>22</v>
      </c>
      <c r="G45" s="4">
        <v>25000</v>
      </c>
      <c r="H45" s="5">
        <v>88</v>
      </c>
      <c r="I45" s="6">
        <v>45795</v>
      </c>
      <c r="J45" s="2" t="s">
        <v>598</v>
      </c>
      <c r="K45" s="15">
        <f>PRODUCT(Table242[[#This Row],[Ticket Price]],Table242[[#This Row],[Passenger Count]])</f>
        <v>2200000</v>
      </c>
      <c r="L45" s="15">
        <f>Table242[[#This Row],[Revenue]]*(1-$Q$2)</f>
        <v>1980000</v>
      </c>
      <c r="M45" t="str">
        <f t="shared" si="0"/>
        <v>Slight Delay</v>
      </c>
      <c r="N45">
        <f>IF(Table242[[#This Row],[Performance Rating]]="On Time",1,0)</f>
        <v>0</v>
      </c>
    </row>
    <row r="46" spans="1:18" x14ac:dyDescent="0.35">
      <c r="A46" t="s">
        <v>42</v>
      </c>
      <c r="B46" t="s">
        <v>388</v>
      </c>
      <c r="C46" t="s">
        <v>581</v>
      </c>
      <c r="D46" s="2" t="s">
        <v>590</v>
      </c>
      <c r="E46" s="1" t="s">
        <v>596</v>
      </c>
      <c r="F46" s="3">
        <v>23</v>
      </c>
      <c r="G46" s="4">
        <v>25000</v>
      </c>
      <c r="H46" s="5">
        <v>126</v>
      </c>
      <c r="I46" s="6">
        <v>45727</v>
      </c>
      <c r="J46" s="2" t="s">
        <v>598</v>
      </c>
      <c r="K46" s="15">
        <f>PRODUCT(Table242[[#This Row],[Ticket Price]],Table242[[#This Row],[Passenger Count]])</f>
        <v>3150000</v>
      </c>
      <c r="L46" s="15">
        <f>Table242[[#This Row],[Revenue]]*(1-$Q$2)</f>
        <v>2835000</v>
      </c>
      <c r="M46" t="str">
        <f t="shared" si="0"/>
        <v>Slight Delay</v>
      </c>
      <c r="N46">
        <f>IF(Table242[[#This Row],[Performance Rating]]="On Time",1,0)</f>
        <v>0</v>
      </c>
    </row>
    <row r="47" spans="1:18" x14ac:dyDescent="0.35">
      <c r="A47" t="s">
        <v>43</v>
      </c>
      <c r="B47" t="s">
        <v>389</v>
      </c>
      <c r="C47" t="s">
        <v>588</v>
      </c>
      <c r="D47" s="2" t="s">
        <v>589</v>
      </c>
      <c r="E47" s="1" t="s">
        <v>595</v>
      </c>
      <c r="F47" s="3">
        <v>93</v>
      </c>
      <c r="G47" s="4">
        <v>35000</v>
      </c>
      <c r="H47" s="5">
        <v>151</v>
      </c>
      <c r="I47" s="6">
        <v>45778</v>
      </c>
      <c r="J47" s="2" t="s">
        <v>598</v>
      </c>
      <c r="K47" s="15">
        <f>PRODUCT(Table242[[#This Row],[Ticket Price]],Table242[[#This Row],[Passenger Count]])</f>
        <v>5285000</v>
      </c>
      <c r="L47" s="15">
        <f>Table242[[#This Row],[Revenue]]*(1-$Q$2)</f>
        <v>4756500</v>
      </c>
      <c r="M47" t="str">
        <f t="shared" si="0"/>
        <v>Late</v>
      </c>
      <c r="N47">
        <f>IF(Table242[[#This Row],[Performance Rating]]="On Time",1,0)</f>
        <v>0</v>
      </c>
    </row>
    <row r="48" spans="1:18" x14ac:dyDescent="0.35">
      <c r="A48" t="s">
        <v>44</v>
      </c>
      <c r="B48" t="s">
        <v>390</v>
      </c>
      <c r="C48" t="s">
        <v>588</v>
      </c>
      <c r="D48" s="2" t="s">
        <v>582</v>
      </c>
      <c r="E48" s="1" t="s">
        <v>593</v>
      </c>
      <c r="F48" s="3">
        <v>157</v>
      </c>
      <c r="G48" s="4">
        <v>135000</v>
      </c>
      <c r="H48" s="5">
        <v>130</v>
      </c>
      <c r="I48" s="6">
        <v>45807</v>
      </c>
      <c r="J48" s="2" t="s">
        <v>598</v>
      </c>
      <c r="K48" s="15">
        <f>PRODUCT(Table242[[#This Row],[Ticket Price]],Table242[[#This Row],[Passenger Count]])</f>
        <v>17550000</v>
      </c>
      <c r="L48" s="15">
        <f>Table242[[#This Row],[Revenue]]*(1-$Q$2)</f>
        <v>15795000</v>
      </c>
      <c r="M48" t="str">
        <f t="shared" si="0"/>
        <v>Late</v>
      </c>
      <c r="N48">
        <f>IF(Table242[[#This Row],[Performance Rating]]="On Time",1,0)</f>
        <v>0</v>
      </c>
    </row>
    <row r="49" spans="1:14" x14ac:dyDescent="0.35">
      <c r="A49" t="s">
        <v>45</v>
      </c>
      <c r="B49" t="s">
        <v>391</v>
      </c>
      <c r="C49" t="s">
        <v>583</v>
      </c>
      <c r="D49" s="2" t="s">
        <v>584</v>
      </c>
      <c r="E49" s="1" t="s">
        <v>595</v>
      </c>
      <c r="F49" s="3">
        <v>22</v>
      </c>
      <c r="G49" s="4">
        <v>115000</v>
      </c>
      <c r="H49" s="5">
        <v>129</v>
      </c>
      <c r="I49" s="6">
        <v>45779</v>
      </c>
      <c r="J49" s="2" t="s">
        <v>597</v>
      </c>
      <c r="K49" s="15">
        <f>PRODUCT(Table242[[#This Row],[Ticket Price]],Table242[[#This Row],[Passenger Count]])</f>
        <v>14835000</v>
      </c>
      <c r="L49" s="15">
        <f>Table242[[#This Row],[Revenue]]*(1-$Q$2)</f>
        <v>13351500</v>
      </c>
      <c r="M49" t="str">
        <f t="shared" si="0"/>
        <v>Slight Delay</v>
      </c>
      <c r="N49">
        <f>IF(Table242[[#This Row],[Performance Rating]]="On Time",1,0)</f>
        <v>0</v>
      </c>
    </row>
    <row r="50" spans="1:14" x14ac:dyDescent="0.35">
      <c r="A50" t="s">
        <v>46</v>
      </c>
      <c r="B50" t="s">
        <v>392</v>
      </c>
      <c r="C50" t="s">
        <v>586</v>
      </c>
      <c r="D50" s="2" t="s">
        <v>587</v>
      </c>
      <c r="E50" s="1" t="s">
        <v>596</v>
      </c>
      <c r="F50" s="3">
        <v>118</v>
      </c>
      <c r="G50" s="4">
        <v>25000</v>
      </c>
      <c r="H50" s="5">
        <v>147</v>
      </c>
      <c r="I50" s="6">
        <v>45695</v>
      </c>
      <c r="J50" s="2" t="s">
        <v>597</v>
      </c>
      <c r="K50" s="15">
        <f>PRODUCT(Table242[[#This Row],[Ticket Price]],Table242[[#This Row],[Passenger Count]])</f>
        <v>3675000</v>
      </c>
      <c r="L50" s="15">
        <f>Table242[[#This Row],[Revenue]]*(1-$Q$2)</f>
        <v>3307500</v>
      </c>
      <c r="M50" t="str">
        <f t="shared" si="0"/>
        <v>Late</v>
      </c>
      <c r="N50">
        <f>IF(Table242[[#This Row],[Performance Rating]]="On Time",1,0)</f>
        <v>0</v>
      </c>
    </row>
    <row r="51" spans="1:14" x14ac:dyDescent="0.35">
      <c r="A51" t="s">
        <v>47</v>
      </c>
      <c r="B51" t="s">
        <v>393</v>
      </c>
      <c r="C51" t="s">
        <v>582</v>
      </c>
      <c r="D51" s="2" t="s">
        <v>589</v>
      </c>
      <c r="E51" s="1" t="s">
        <v>594</v>
      </c>
      <c r="F51" s="3">
        <v>166</v>
      </c>
      <c r="G51" s="4">
        <v>50000</v>
      </c>
      <c r="H51" s="5">
        <v>72</v>
      </c>
      <c r="I51" s="6">
        <v>45683</v>
      </c>
      <c r="J51" s="2" t="s">
        <v>597</v>
      </c>
      <c r="K51" s="15">
        <f>PRODUCT(Table242[[#This Row],[Ticket Price]],Table242[[#This Row],[Passenger Count]])</f>
        <v>3600000</v>
      </c>
      <c r="L51" s="15">
        <f>Table242[[#This Row],[Revenue]]*(1-$Q$2)</f>
        <v>3240000</v>
      </c>
      <c r="M51" t="str">
        <f t="shared" si="0"/>
        <v>Late</v>
      </c>
      <c r="N51">
        <f>IF(Table242[[#This Row],[Performance Rating]]="On Time",1,0)</f>
        <v>0</v>
      </c>
    </row>
    <row r="52" spans="1:14" x14ac:dyDescent="0.35">
      <c r="A52" t="s">
        <v>48</v>
      </c>
      <c r="B52" t="s">
        <v>394</v>
      </c>
      <c r="C52" t="s">
        <v>586</v>
      </c>
      <c r="D52" s="2" t="s">
        <v>584</v>
      </c>
      <c r="E52" s="1" t="s">
        <v>594</v>
      </c>
      <c r="F52" s="3">
        <v>18</v>
      </c>
      <c r="G52" s="4">
        <v>140000</v>
      </c>
      <c r="H52" s="5">
        <v>126</v>
      </c>
      <c r="I52" s="6">
        <v>45745</v>
      </c>
      <c r="J52" s="2" t="s">
        <v>598</v>
      </c>
      <c r="K52" s="15">
        <f>PRODUCT(Table242[[#This Row],[Ticket Price]],Table242[[#This Row],[Passenger Count]])</f>
        <v>17640000</v>
      </c>
      <c r="L52" s="15">
        <f>Table242[[#This Row],[Revenue]]*(1-$Q$2)</f>
        <v>15876000</v>
      </c>
      <c r="M52" t="str">
        <f t="shared" si="0"/>
        <v>Slight Delay</v>
      </c>
      <c r="N52">
        <f>IF(Table242[[#This Row],[Performance Rating]]="On Time",1,0)</f>
        <v>0</v>
      </c>
    </row>
    <row r="53" spans="1:14" x14ac:dyDescent="0.35">
      <c r="A53" t="s">
        <v>49</v>
      </c>
      <c r="B53" t="s">
        <v>395</v>
      </c>
      <c r="C53" t="s">
        <v>588</v>
      </c>
      <c r="D53" s="2" t="s">
        <v>587</v>
      </c>
      <c r="E53" s="1" t="s">
        <v>592</v>
      </c>
      <c r="F53" s="3">
        <v>44</v>
      </c>
      <c r="G53" s="4">
        <v>140000</v>
      </c>
      <c r="H53" s="5">
        <v>80</v>
      </c>
      <c r="I53" s="6">
        <v>45672</v>
      </c>
      <c r="J53" s="2" t="s">
        <v>598</v>
      </c>
      <c r="K53" s="15">
        <f>PRODUCT(Table242[[#This Row],[Ticket Price]],Table242[[#This Row],[Passenger Count]])</f>
        <v>11200000</v>
      </c>
      <c r="L53" s="15">
        <f>Table242[[#This Row],[Revenue]]*(1-$Q$2)</f>
        <v>10080000</v>
      </c>
      <c r="M53" t="str">
        <f t="shared" si="0"/>
        <v>Late</v>
      </c>
      <c r="N53">
        <f>IF(Table242[[#This Row],[Performance Rating]]="On Time",1,0)</f>
        <v>0</v>
      </c>
    </row>
    <row r="54" spans="1:14" x14ac:dyDescent="0.35">
      <c r="A54" t="s">
        <v>50</v>
      </c>
      <c r="B54" t="s">
        <v>396</v>
      </c>
      <c r="C54" t="s">
        <v>585</v>
      </c>
      <c r="D54" s="2" t="s">
        <v>582</v>
      </c>
      <c r="E54" s="1" t="s">
        <v>594</v>
      </c>
      <c r="F54" s="3">
        <v>50</v>
      </c>
      <c r="G54" s="4">
        <v>110000</v>
      </c>
      <c r="H54" s="5">
        <v>99</v>
      </c>
      <c r="I54" s="6">
        <v>45770</v>
      </c>
      <c r="J54" s="2" t="s">
        <v>598</v>
      </c>
      <c r="K54" s="15">
        <f>PRODUCT(Table242[[#This Row],[Ticket Price]],Table242[[#This Row],[Passenger Count]])</f>
        <v>10890000</v>
      </c>
      <c r="L54" s="15">
        <f>Table242[[#This Row],[Revenue]]*(1-$Q$2)</f>
        <v>9801000</v>
      </c>
      <c r="M54" t="str">
        <f t="shared" si="0"/>
        <v>Late</v>
      </c>
      <c r="N54">
        <f>IF(Table242[[#This Row],[Performance Rating]]="On Time",1,0)</f>
        <v>0</v>
      </c>
    </row>
    <row r="55" spans="1:14" x14ac:dyDescent="0.35">
      <c r="A55" t="s">
        <v>51</v>
      </c>
      <c r="B55" t="s">
        <v>397</v>
      </c>
      <c r="C55" t="s">
        <v>586</v>
      </c>
      <c r="D55" s="2" t="s">
        <v>584</v>
      </c>
      <c r="E55" s="1" t="s">
        <v>596</v>
      </c>
      <c r="F55" s="3">
        <v>1</v>
      </c>
      <c r="G55" s="4">
        <v>90000</v>
      </c>
      <c r="H55" s="5">
        <v>155</v>
      </c>
      <c r="I55" s="6">
        <v>45804</v>
      </c>
      <c r="J55" s="2" t="s">
        <v>598</v>
      </c>
      <c r="K55" s="15">
        <f>PRODUCT(Table242[[#This Row],[Ticket Price]],Table242[[#This Row],[Passenger Count]])</f>
        <v>13950000</v>
      </c>
      <c r="L55" s="15">
        <f>Table242[[#This Row],[Revenue]]*(1-$Q$2)</f>
        <v>12555000</v>
      </c>
      <c r="M55" t="str">
        <f t="shared" si="0"/>
        <v>On Time</v>
      </c>
      <c r="N55">
        <f>IF(Table242[[#This Row],[Performance Rating]]="On Time",1,0)</f>
        <v>1</v>
      </c>
    </row>
    <row r="56" spans="1:14" x14ac:dyDescent="0.35">
      <c r="A56" t="s">
        <v>52</v>
      </c>
      <c r="B56" t="s">
        <v>365</v>
      </c>
      <c r="C56" t="s">
        <v>588</v>
      </c>
      <c r="D56" s="2" t="s">
        <v>583</v>
      </c>
      <c r="E56" s="1" t="s">
        <v>593</v>
      </c>
      <c r="F56" s="3">
        <v>19</v>
      </c>
      <c r="G56" s="4">
        <v>110000</v>
      </c>
      <c r="H56" s="5">
        <v>129</v>
      </c>
      <c r="I56" s="6">
        <v>45683</v>
      </c>
      <c r="J56" s="2" t="s">
        <v>598</v>
      </c>
      <c r="K56" s="15">
        <f>PRODUCT(Table242[[#This Row],[Ticket Price]],Table242[[#This Row],[Passenger Count]])</f>
        <v>14190000</v>
      </c>
      <c r="L56" s="15">
        <f>Table242[[#This Row],[Revenue]]*(1-$Q$2)</f>
        <v>12771000</v>
      </c>
      <c r="M56" t="str">
        <f t="shared" si="0"/>
        <v>Slight Delay</v>
      </c>
      <c r="N56">
        <f>IF(Table242[[#This Row],[Performance Rating]]="On Time",1,0)</f>
        <v>0</v>
      </c>
    </row>
    <row r="57" spans="1:14" x14ac:dyDescent="0.35">
      <c r="A57" t="s">
        <v>53</v>
      </c>
      <c r="B57" t="s">
        <v>398</v>
      </c>
      <c r="C57" t="s">
        <v>587</v>
      </c>
      <c r="D57" s="2" t="s">
        <v>584</v>
      </c>
      <c r="E57" s="1" t="s">
        <v>595</v>
      </c>
      <c r="F57" s="3">
        <v>18</v>
      </c>
      <c r="G57" s="4">
        <v>95000</v>
      </c>
      <c r="H57" s="5">
        <v>133</v>
      </c>
      <c r="I57" s="6">
        <v>45661</v>
      </c>
      <c r="J57" s="2" t="s">
        <v>598</v>
      </c>
      <c r="K57" s="15">
        <f>PRODUCT(Table242[[#This Row],[Ticket Price]],Table242[[#This Row],[Passenger Count]])</f>
        <v>12635000</v>
      </c>
      <c r="L57" s="15">
        <f>Table242[[#This Row],[Revenue]]*(1-$Q$2)</f>
        <v>11371500</v>
      </c>
      <c r="M57" t="str">
        <f t="shared" si="0"/>
        <v>Slight Delay</v>
      </c>
      <c r="N57">
        <f>IF(Table242[[#This Row],[Performance Rating]]="On Time",1,0)</f>
        <v>0</v>
      </c>
    </row>
    <row r="58" spans="1:14" x14ac:dyDescent="0.35">
      <c r="A58" t="s">
        <v>54</v>
      </c>
      <c r="B58" t="s">
        <v>379</v>
      </c>
      <c r="C58" t="s">
        <v>587</v>
      </c>
      <c r="D58" s="2" t="s">
        <v>585</v>
      </c>
      <c r="E58" s="1" t="s">
        <v>595</v>
      </c>
      <c r="F58" s="3">
        <v>130</v>
      </c>
      <c r="G58" s="4">
        <v>75000</v>
      </c>
      <c r="H58" s="5">
        <v>159</v>
      </c>
      <c r="I58" s="6">
        <v>45728</v>
      </c>
      <c r="J58" s="2" t="s">
        <v>597</v>
      </c>
      <c r="K58" s="15">
        <f>PRODUCT(Table242[[#This Row],[Ticket Price]],Table242[[#This Row],[Passenger Count]])</f>
        <v>11925000</v>
      </c>
      <c r="L58" s="15">
        <f>Table242[[#This Row],[Revenue]]*(1-$Q$2)</f>
        <v>10732500</v>
      </c>
      <c r="M58" t="str">
        <f t="shared" si="0"/>
        <v>Late</v>
      </c>
      <c r="N58">
        <f>IF(Table242[[#This Row],[Performance Rating]]="On Time",1,0)</f>
        <v>0</v>
      </c>
    </row>
    <row r="59" spans="1:14" x14ac:dyDescent="0.35">
      <c r="A59" t="s">
        <v>55</v>
      </c>
      <c r="B59" t="s">
        <v>399</v>
      </c>
      <c r="C59" t="s">
        <v>587</v>
      </c>
      <c r="D59" s="2" t="s">
        <v>585</v>
      </c>
      <c r="E59" s="1" t="s">
        <v>595</v>
      </c>
      <c r="F59" s="3">
        <v>27</v>
      </c>
      <c r="G59" s="4">
        <v>145000</v>
      </c>
      <c r="H59" s="5">
        <v>98</v>
      </c>
      <c r="I59" s="6">
        <v>45710</v>
      </c>
      <c r="J59" s="2" t="s">
        <v>597</v>
      </c>
      <c r="K59" s="15">
        <f>PRODUCT(Table242[[#This Row],[Ticket Price]],Table242[[#This Row],[Passenger Count]])</f>
        <v>14210000</v>
      </c>
      <c r="L59" s="15">
        <f>Table242[[#This Row],[Revenue]]*(1-$Q$2)</f>
        <v>12789000</v>
      </c>
      <c r="M59" t="str">
        <f t="shared" si="0"/>
        <v>Slight Delay</v>
      </c>
      <c r="N59">
        <f>IF(Table242[[#This Row],[Performance Rating]]="On Time",1,0)</f>
        <v>0</v>
      </c>
    </row>
    <row r="60" spans="1:14" x14ac:dyDescent="0.35">
      <c r="A60" t="s">
        <v>56</v>
      </c>
      <c r="B60" t="s">
        <v>400</v>
      </c>
      <c r="C60" t="s">
        <v>585</v>
      </c>
      <c r="D60" s="2" t="s">
        <v>591</v>
      </c>
      <c r="E60" s="1" t="s">
        <v>594</v>
      </c>
      <c r="F60" s="3">
        <v>31</v>
      </c>
      <c r="G60" s="4">
        <v>65000</v>
      </c>
      <c r="H60" s="5">
        <v>148</v>
      </c>
      <c r="I60" s="6">
        <v>45679</v>
      </c>
      <c r="J60" s="2" t="s">
        <v>597</v>
      </c>
      <c r="K60" s="15">
        <f>PRODUCT(Table242[[#This Row],[Ticket Price]],Table242[[#This Row],[Passenger Count]])</f>
        <v>9620000</v>
      </c>
      <c r="L60" s="15">
        <f>Table242[[#This Row],[Revenue]]*(1-$Q$2)</f>
        <v>8658000</v>
      </c>
      <c r="M60" t="str">
        <f t="shared" si="0"/>
        <v>Late</v>
      </c>
      <c r="N60">
        <f>IF(Table242[[#This Row],[Performance Rating]]="On Time",1,0)</f>
        <v>0</v>
      </c>
    </row>
    <row r="61" spans="1:14" x14ac:dyDescent="0.35">
      <c r="A61" t="s">
        <v>57</v>
      </c>
      <c r="B61" t="s">
        <v>401</v>
      </c>
      <c r="C61" t="s">
        <v>581</v>
      </c>
      <c r="D61" s="2" t="s">
        <v>591</v>
      </c>
      <c r="E61" s="1" t="s">
        <v>592</v>
      </c>
      <c r="F61" s="3">
        <v>131</v>
      </c>
      <c r="G61" s="4">
        <v>100000</v>
      </c>
      <c r="H61" s="5">
        <v>87</v>
      </c>
      <c r="I61" s="6">
        <v>45721</v>
      </c>
      <c r="J61" s="2" t="s">
        <v>597</v>
      </c>
      <c r="K61" s="15">
        <f>PRODUCT(Table242[[#This Row],[Ticket Price]],Table242[[#This Row],[Passenger Count]])</f>
        <v>8700000</v>
      </c>
      <c r="L61" s="15">
        <f>Table242[[#This Row],[Revenue]]*(1-$Q$2)</f>
        <v>7830000</v>
      </c>
      <c r="M61" t="str">
        <f t="shared" si="0"/>
        <v>Late</v>
      </c>
      <c r="N61">
        <f>IF(Table242[[#This Row],[Performance Rating]]="On Time",1,0)</f>
        <v>0</v>
      </c>
    </row>
    <row r="62" spans="1:14" x14ac:dyDescent="0.35">
      <c r="A62" t="s">
        <v>58</v>
      </c>
      <c r="B62" t="s">
        <v>402</v>
      </c>
      <c r="C62" t="s">
        <v>583</v>
      </c>
      <c r="D62" s="2" t="s">
        <v>590</v>
      </c>
      <c r="E62" s="1" t="s">
        <v>594</v>
      </c>
      <c r="F62" s="3">
        <v>82</v>
      </c>
      <c r="G62" s="4">
        <v>150000</v>
      </c>
      <c r="H62" s="5">
        <v>153</v>
      </c>
      <c r="I62" s="6">
        <v>45779</v>
      </c>
      <c r="J62" s="2" t="s">
        <v>597</v>
      </c>
      <c r="K62" s="15">
        <f>PRODUCT(Table242[[#This Row],[Ticket Price]],Table242[[#This Row],[Passenger Count]])</f>
        <v>22950000</v>
      </c>
      <c r="L62" s="15">
        <f>Table242[[#This Row],[Revenue]]*(1-$Q$2)</f>
        <v>20655000</v>
      </c>
      <c r="M62" t="str">
        <f t="shared" si="0"/>
        <v>Late</v>
      </c>
      <c r="N62">
        <f>IF(Table242[[#This Row],[Performance Rating]]="On Time",1,0)</f>
        <v>0</v>
      </c>
    </row>
    <row r="63" spans="1:14" x14ac:dyDescent="0.35">
      <c r="A63" t="s">
        <v>59</v>
      </c>
      <c r="B63" t="s">
        <v>403</v>
      </c>
      <c r="C63" t="s">
        <v>588</v>
      </c>
      <c r="D63" s="2" t="s">
        <v>590</v>
      </c>
      <c r="E63" s="1" t="s">
        <v>592</v>
      </c>
      <c r="F63" s="3">
        <v>54</v>
      </c>
      <c r="G63" s="4">
        <v>120000</v>
      </c>
      <c r="H63" s="5">
        <v>113</v>
      </c>
      <c r="I63" s="6">
        <v>45830</v>
      </c>
      <c r="J63" s="2" t="s">
        <v>597</v>
      </c>
      <c r="K63" s="15">
        <f>PRODUCT(Table242[[#This Row],[Ticket Price]],Table242[[#This Row],[Passenger Count]])</f>
        <v>13560000</v>
      </c>
      <c r="L63" s="15">
        <f>Table242[[#This Row],[Revenue]]*(1-$Q$2)</f>
        <v>12204000</v>
      </c>
      <c r="M63" t="str">
        <f t="shared" si="0"/>
        <v>Late</v>
      </c>
      <c r="N63">
        <f>IF(Table242[[#This Row],[Performance Rating]]="On Time",1,0)</f>
        <v>0</v>
      </c>
    </row>
    <row r="64" spans="1:14" x14ac:dyDescent="0.35">
      <c r="A64" t="s">
        <v>60</v>
      </c>
      <c r="B64" t="s">
        <v>404</v>
      </c>
      <c r="C64" t="s">
        <v>584</v>
      </c>
      <c r="D64" s="2" t="s">
        <v>589</v>
      </c>
      <c r="E64" s="1" t="s">
        <v>592</v>
      </c>
      <c r="F64" s="3">
        <v>92</v>
      </c>
      <c r="G64" s="4">
        <v>100000</v>
      </c>
      <c r="H64" s="5">
        <v>93</v>
      </c>
      <c r="I64" s="6">
        <v>45718</v>
      </c>
      <c r="J64" s="2" t="s">
        <v>597</v>
      </c>
      <c r="K64" s="15">
        <f>PRODUCT(Table242[[#This Row],[Ticket Price]],Table242[[#This Row],[Passenger Count]])</f>
        <v>9300000</v>
      </c>
      <c r="L64" s="15">
        <f>Table242[[#This Row],[Revenue]]*(1-$Q$2)</f>
        <v>8370000</v>
      </c>
      <c r="M64" t="str">
        <f t="shared" si="0"/>
        <v>Late</v>
      </c>
      <c r="N64">
        <f>IF(Table242[[#This Row],[Performance Rating]]="On Time",1,0)</f>
        <v>0</v>
      </c>
    </row>
    <row r="65" spans="1:14" x14ac:dyDescent="0.35">
      <c r="A65" t="s">
        <v>61</v>
      </c>
      <c r="B65" t="s">
        <v>405</v>
      </c>
      <c r="C65" t="s">
        <v>582</v>
      </c>
      <c r="D65" s="2" t="s">
        <v>585</v>
      </c>
      <c r="E65" s="1" t="s">
        <v>594</v>
      </c>
      <c r="F65" s="3">
        <v>122</v>
      </c>
      <c r="G65" s="4">
        <v>45000</v>
      </c>
      <c r="H65" s="5">
        <v>63</v>
      </c>
      <c r="I65" s="6">
        <v>45764</v>
      </c>
      <c r="J65" s="2" t="s">
        <v>597</v>
      </c>
      <c r="K65" s="15">
        <f>PRODUCT(Table242[[#This Row],[Ticket Price]],Table242[[#This Row],[Passenger Count]])</f>
        <v>2835000</v>
      </c>
      <c r="L65" s="15">
        <f>Table242[[#This Row],[Revenue]]*(1-$Q$2)</f>
        <v>2551500</v>
      </c>
      <c r="M65" t="str">
        <f t="shared" si="0"/>
        <v>Late</v>
      </c>
      <c r="N65">
        <f>IF(Table242[[#This Row],[Performance Rating]]="On Time",1,0)</f>
        <v>0</v>
      </c>
    </row>
    <row r="66" spans="1:14" x14ac:dyDescent="0.35">
      <c r="A66" t="s">
        <v>62</v>
      </c>
      <c r="B66" t="s">
        <v>406</v>
      </c>
      <c r="C66" t="s">
        <v>582</v>
      </c>
      <c r="D66" s="2" t="s">
        <v>590</v>
      </c>
      <c r="E66" s="1" t="s">
        <v>594</v>
      </c>
      <c r="F66" s="3">
        <v>107</v>
      </c>
      <c r="G66" s="4">
        <v>145000</v>
      </c>
      <c r="H66" s="5">
        <v>85</v>
      </c>
      <c r="I66" s="6">
        <v>45667</v>
      </c>
      <c r="J66" s="2" t="s">
        <v>598</v>
      </c>
      <c r="K66" s="15">
        <f>PRODUCT(Table242[[#This Row],[Ticket Price]],Table242[[#This Row],[Passenger Count]])</f>
        <v>12325000</v>
      </c>
      <c r="L66" s="15">
        <f>Table242[[#This Row],[Revenue]]*(1-$Q$2)</f>
        <v>11092500</v>
      </c>
      <c r="M66" t="str">
        <f t="shared" si="0"/>
        <v>Late</v>
      </c>
      <c r="N66">
        <f>IF(Table242[[#This Row],[Performance Rating]]="On Time",1,0)</f>
        <v>0</v>
      </c>
    </row>
    <row r="67" spans="1:14" x14ac:dyDescent="0.35">
      <c r="A67" t="s">
        <v>63</v>
      </c>
      <c r="B67" t="s">
        <v>384</v>
      </c>
      <c r="C67" t="s">
        <v>587</v>
      </c>
      <c r="D67" s="2" t="s">
        <v>584</v>
      </c>
      <c r="E67" s="1" t="s">
        <v>593</v>
      </c>
      <c r="F67" s="3">
        <v>67</v>
      </c>
      <c r="G67" s="4">
        <v>100000</v>
      </c>
      <c r="H67" s="5">
        <v>65</v>
      </c>
      <c r="I67" s="6">
        <v>45715</v>
      </c>
      <c r="J67" s="2" t="s">
        <v>598</v>
      </c>
      <c r="K67" s="15">
        <f>PRODUCT(Table242[[#This Row],[Ticket Price]],Table242[[#This Row],[Passenger Count]])</f>
        <v>6500000</v>
      </c>
      <c r="L67" s="15">
        <f>Table242[[#This Row],[Revenue]]*(1-$Q$2)</f>
        <v>5850000</v>
      </c>
      <c r="M67" t="str">
        <f t="shared" ref="M67:M130" si="1">IF(F67&lt;=10,"On Time",IF(F67&lt;=30,"Slight Delay","Late"))</f>
        <v>Late</v>
      </c>
      <c r="N67">
        <f>IF(Table242[[#This Row],[Performance Rating]]="On Time",1,0)</f>
        <v>0</v>
      </c>
    </row>
    <row r="68" spans="1:14" x14ac:dyDescent="0.35">
      <c r="A68" t="s">
        <v>64</v>
      </c>
      <c r="B68" t="s">
        <v>407</v>
      </c>
      <c r="C68" t="s">
        <v>583</v>
      </c>
      <c r="D68" s="2" t="s">
        <v>591</v>
      </c>
      <c r="E68" s="1" t="s">
        <v>592</v>
      </c>
      <c r="F68" s="3">
        <v>-1</v>
      </c>
      <c r="G68" s="4">
        <v>150000</v>
      </c>
      <c r="H68" s="5">
        <v>133</v>
      </c>
      <c r="I68" s="6">
        <v>45695</v>
      </c>
      <c r="J68" s="2" t="s">
        <v>598</v>
      </c>
      <c r="K68" s="15">
        <f>PRODUCT(Table242[[#This Row],[Ticket Price]],Table242[[#This Row],[Passenger Count]])</f>
        <v>19950000</v>
      </c>
      <c r="L68" s="15">
        <f>Table242[[#This Row],[Revenue]]*(1-$Q$2)</f>
        <v>17955000</v>
      </c>
      <c r="M68" t="str">
        <f t="shared" si="1"/>
        <v>On Time</v>
      </c>
      <c r="N68">
        <f>IF(Table242[[#This Row],[Performance Rating]]="On Time",1,0)</f>
        <v>1</v>
      </c>
    </row>
    <row r="69" spans="1:14" x14ac:dyDescent="0.35">
      <c r="A69" t="s">
        <v>65</v>
      </c>
      <c r="B69" t="s">
        <v>390</v>
      </c>
      <c r="C69" t="s">
        <v>584</v>
      </c>
      <c r="D69" s="2" t="s">
        <v>587</v>
      </c>
      <c r="E69" s="1" t="s">
        <v>596</v>
      </c>
      <c r="F69" s="3">
        <v>24</v>
      </c>
      <c r="G69" s="4">
        <v>65000</v>
      </c>
      <c r="H69" s="5">
        <v>156</v>
      </c>
      <c r="I69" s="6">
        <v>45680</v>
      </c>
      <c r="J69" s="2" t="s">
        <v>597</v>
      </c>
      <c r="K69" s="15">
        <f>PRODUCT(Table242[[#This Row],[Ticket Price]],Table242[[#This Row],[Passenger Count]])</f>
        <v>10140000</v>
      </c>
      <c r="L69" s="15">
        <f>Table242[[#This Row],[Revenue]]*(1-$Q$2)</f>
        <v>9126000</v>
      </c>
      <c r="M69" t="str">
        <f t="shared" si="1"/>
        <v>Slight Delay</v>
      </c>
      <c r="N69">
        <f>IF(Table242[[#This Row],[Performance Rating]]="On Time",1,0)</f>
        <v>0</v>
      </c>
    </row>
    <row r="70" spans="1:14" x14ac:dyDescent="0.35">
      <c r="A70" t="s">
        <v>66</v>
      </c>
      <c r="B70" t="s">
        <v>408</v>
      </c>
      <c r="C70" t="s">
        <v>585</v>
      </c>
      <c r="D70" s="2" t="s">
        <v>584</v>
      </c>
      <c r="E70" s="1" t="s">
        <v>595</v>
      </c>
      <c r="F70" s="3">
        <v>54</v>
      </c>
      <c r="G70" s="4">
        <v>80000</v>
      </c>
      <c r="H70" s="5">
        <v>66</v>
      </c>
      <c r="I70" s="6">
        <v>45780</v>
      </c>
      <c r="J70" s="2" t="s">
        <v>597</v>
      </c>
      <c r="K70" s="15">
        <f>PRODUCT(Table242[[#This Row],[Ticket Price]],Table242[[#This Row],[Passenger Count]])</f>
        <v>5280000</v>
      </c>
      <c r="L70" s="15">
        <f>Table242[[#This Row],[Revenue]]*(1-$Q$2)</f>
        <v>4752000</v>
      </c>
      <c r="M70" t="str">
        <f t="shared" si="1"/>
        <v>Late</v>
      </c>
      <c r="N70">
        <f>IF(Table242[[#This Row],[Performance Rating]]="On Time",1,0)</f>
        <v>0</v>
      </c>
    </row>
    <row r="71" spans="1:14" x14ac:dyDescent="0.35">
      <c r="A71" t="s">
        <v>67</v>
      </c>
      <c r="B71" t="s">
        <v>399</v>
      </c>
      <c r="C71" t="s">
        <v>585</v>
      </c>
      <c r="D71" s="2" t="s">
        <v>590</v>
      </c>
      <c r="E71" s="1" t="s">
        <v>596</v>
      </c>
      <c r="F71" s="3">
        <v>72</v>
      </c>
      <c r="G71" s="4">
        <v>40000</v>
      </c>
      <c r="H71" s="5">
        <v>97</v>
      </c>
      <c r="I71" s="6">
        <v>45665</v>
      </c>
      <c r="J71" s="2" t="s">
        <v>598</v>
      </c>
      <c r="K71" s="15">
        <f>PRODUCT(Table242[[#This Row],[Ticket Price]],Table242[[#This Row],[Passenger Count]])</f>
        <v>3880000</v>
      </c>
      <c r="L71" s="15">
        <f>Table242[[#This Row],[Revenue]]*(1-$Q$2)</f>
        <v>3492000</v>
      </c>
      <c r="M71" t="str">
        <f t="shared" si="1"/>
        <v>Late</v>
      </c>
      <c r="N71">
        <f>IF(Table242[[#This Row],[Performance Rating]]="On Time",1,0)</f>
        <v>0</v>
      </c>
    </row>
    <row r="72" spans="1:14" x14ac:dyDescent="0.35">
      <c r="A72" t="s">
        <v>68</v>
      </c>
      <c r="B72" t="s">
        <v>409</v>
      </c>
      <c r="C72" t="s">
        <v>583</v>
      </c>
      <c r="D72" s="2" t="s">
        <v>584</v>
      </c>
      <c r="E72" s="1" t="s">
        <v>595</v>
      </c>
      <c r="F72" s="3">
        <v>122</v>
      </c>
      <c r="G72" s="4">
        <v>140000</v>
      </c>
      <c r="H72" s="5">
        <v>177</v>
      </c>
      <c r="I72" s="6">
        <v>45828</v>
      </c>
      <c r="J72" s="2" t="s">
        <v>597</v>
      </c>
      <c r="K72" s="15">
        <f>PRODUCT(Table242[[#This Row],[Ticket Price]],Table242[[#This Row],[Passenger Count]])</f>
        <v>24780000</v>
      </c>
      <c r="L72" s="15">
        <f>Table242[[#This Row],[Revenue]]*(1-$Q$2)</f>
        <v>22302000</v>
      </c>
      <c r="M72" t="str">
        <f t="shared" si="1"/>
        <v>Late</v>
      </c>
      <c r="N72">
        <f>IF(Table242[[#This Row],[Performance Rating]]="On Time",1,0)</f>
        <v>0</v>
      </c>
    </row>
    <row r="73" spans="1:14" x14ac:dyDescent="0.35">
      <c r="A73" t="s">
        <v>69</v>
      </c>
      <c r="B73" t="s">
        <v>410</v>
      </c>
      <c r="C73" t="s">
        <v>584</v>
      </c>
      <c r="D73" s="2" t="s">
        <v>591</v>
      </c>
      <c r="E73" s="1" t="s">
        <v>596</v>
      </c>
      <c r="F73" s="3">
        <v>54</v>
      </c>
      <c r="G73" s="4">
        <v>35000</v>
      </c>
      <c r="H73" s="5">
        <v>127</v>
      </c>
      <c r="I73" s="6">
        <v>45776</v>
      </c>
      <c r="J73" s="2" t="s">
        <v>597</v>
      </c>
      <c r="K73" s="15">
        <f>PRODUCT(Table242[[#This Row],[Ticket Price]],Table242[[#This Row],[Passenger Count]])</f>
        <v>4445000</v>
      </c>
      <c r="L73" s="15">
        <f>Table242[[#This Row],[Revenue]]*(1-$Q$2)</f>
        <v>4000500</v>
      </c>
      <c r="M73" t="str">
        <f t="shared" si="1"/>
        <v>Late</v>
      </c>
      <c r="N73">
        <f>IF(Table242[[#This Row],[Performance Rating]]="On Time",1,0)</f>
        <v>0</v>
      </c>
    </row>
    <row r="74" spans="1:14" x14ac:dyDescent="0.35">
      <c r="A74" t="s">
        <v>70</v>
      </c>
      <c r="B74" t="s">
        <v>411</v>
      </c>
      <c r="C74" t="s">
        <v>588</v>
      </c>
      <c r="D74" s="2" t="s">
        <v>584</v>
      </c>
      <c r="E74" s="1" t="s">
        <v>595</v>
      </c>
      <c r="F74" s="3">
        <v>104</v>
      </c>
      <c r="G74" s="4">
        <v>135000</v>
      </c>
      <c r="H74" s="5">
        <v>174</v>
      </c>
      <c r="I74" s="6">
        <v>45742</v>
      </c>
      <c r="J74" s="2" t="s">
        <v>597</v>
      </c>
      <c r="K74" s="15">
        <f>PRODUCT(Table242[[#This Row],[Ticket Price]],Table242[[#This Row],[Passenger Count]])</f>
        <v>23490000</v>
      </c>
      <c r="L74" s="15">
        <f>Table242[[#This Row],[Revenue]]*(1-$Q$2)</f>
        <v>21141000</v>
      </c>
      <c r="M74" t="str">
        <f t="shared" si="1"/>
        <v>Late</v>
      </c>
      <c r="N74">
        <f>IF(Table242[[#This Row],[Performance Rating]]="On Time",1,0)</f>
        <v>0</v>
      </c>
    </row>
    <row r="75" spans="1:14" x14ac:dyDescent="0.35">
      <c r="A75" t="s">
        <v>71</v>
      </c>
      <c r="B75" t="s">
        <v>412</v>
      </c>
      <c r="C75" t="s">
        <v>584</v>
      </c>
      <c r="D75" s="2" t="s">
        <v>587</v>
      </c>
      <c r="E75" s="1" t="s">
        <v>596</v>
      </c>
      <c r="F75" s="3">
        <v>137</v>
      </c>
      <c r="G75" s="4">
        <v>55000</v>
      </c>
      <c r="H75" s="5">
        <v>169</v>
      </c>
      <c r="I75" s="6">
        <v>45660</v>
      </c>
      <c r="J75" s="2" t="s">
        <v>598</v>
      </c>
      <c r="K75" s="15">
        <f>PRODUCT(Table242[[#This Row],[Ticket Price]],Table242[[#This Row],[Passenger Count]])</f>
        <v>9295000</v>
      </c>
      <c r="L75" s="15">
        <f>Table242[[#This Row],[Revenue]]*(1-$Q$2)</f>
        <v>8365500</v>
      </c>
      <c r="M75" t="str">
        <f t="shared" si="1"/>
        <v>Late</v>
      </c>
      <c r="N75">
        <f>IF(Table242[[#This Row],[Performance Rating]]="On Time",1,0)</f>
        <v>0</v>
      </c>
    </row>
    <row r="76" spans="1:14" x14ac:dyDescent="0.35">
      <c r="A76" t="s">
        <v>72</v>
      </c>
      <c r="B76" t="s">
        <v>413</v>
      </c>
      <c r="C76" t="s">
        <v>581</v>
      </c>
      <c r="D76" s="2" t="s">
        <v>587</v>
      </c>
      <c r="E76" s="1" t="s">
        <v>593</v>
      </c>
      <c r="F76" s="3">
        <v>67</v>
      </c>
      <c r="G76" s="4">
        <v>50000</v>
      </c>
      <c r="H76" s="5">
        <v>87</v>
      </c>
      <c r="I76" s="6">
        <v>45799</v>
      </c>
      <c r="J76" s="2" t="s">
        <v>597</v>
      </c>
      <c r="K76" s="15">
        <f>PRODUCT(Table242[[#This Row],[Ticket Price]],Table242[[#This Row],[Passenger Count]])</f>
        <v>4350000</v>
      </c>
      <c r="L76" s="15">
        <f>Table242[[#This Row],[Revenue]]*(1-$Q$2)</f>
        <v>3915000</v>
      </c>
      <c r="M76" t="str">
        <f t="shared" si="1"/>
        <v>Late</v>
      </c>
      <c r="N76">
        <f>IF(Table242[[#This Row],[Performance Rating]]="On Time",1,0)</f>
        <v>0</v>
      </c>
    </row>
    <row r="77" spans="1:14" x14ac:dyDescent="0.35">
      <c r="A77" t="s">
        <v>73</v>
      </c>
      <c r="B77" t="s">
        <v>414</v>
      </c>
      <c r="C77" t="s">
        <v>581</v>
      </c>
      <c r="D77" s="2" t="s">
        <v>584</v>
      </c>
      <c r="E77" s="1" t="s">
        <v>593</v>
      </c>
      <c r="F77" s="3">
        <v>128</v>
      </c>
      <c r="G77" s="4">
        <v>90000</v>
      </c>
      <c r="H77" s="5">
        <v>80</v>
      </c>
      <c r="I77" s="6">
        <v>45814</v>
      </c>
      <c r="J77" s="2" t="s">
        <v>597</v>
      </c>
      <c r="K77" s="15">
        <f>PRODUCT(Table242[[#This Row],[Ticket Price]],Table242[[#This Row],[Passenger Count]])</f>
        <v>7200000</v>
      </c>
      <c r="L77" s="15">
        <f>Table242[[#This Row],[Revenue]]*(1-$Q$2)</f>
        <v>6480000</v>
      </c>
      <c r="M77" t="str">
        <f t="shared" si="1"/>
        <v>Late</v>
      </c>
      <c r="N77">
        <f>IF(Table242[[#This Row],[Performance Rating]]="On Time",1,0)</f>
        <v>0</v>
      </c>
    </row>
    <row r="78" spans="1:14" x14ac:dyDescent="0.35">
      <c r="A78" t="s">
        <v>74</v>
      </c>
      <c r="B78" t="s">
        <v>415</v>
      </c>
      <c r="C78" t="s">
        <v>588</v>
      </c>
      <c r="D78" s="2" t="s">
        <v>591</v>
      </c>
      <c r="E78" s="1" t="s">
        <v>593</v>
      </c>
      <c r="F78" s="3">
        <v>106</v>
      </c>
      <c r="G78" s="4">
        <v>75000</v>
      </c>
      <c r="H78" s="5">
        <v>126</v>
      </c>
      <c r="I78" s="6">
        <v>45661</v>
      </c>
      <c r="J78" s="2" t="s">
        <v>598</v>
      </c>
      <c r="K78" s="15">
        <f>PRODUCT(Table242[[#This Row],[Ticket Price]],Table242[[#This Row],[Passenger Count]])</f>
        <v>9450000</v>
      </c>
      <c r="L78" s="15">
        <f>Table242[[#This Row],[Revenue]]*(1-$Q$2)</f>
        <v>8505000</v>
      </c>
      <c r="M78" t="str">
        <f t="shared" si="1"/>
        <v>Late</v>
      </c>
      <c r="N78">
        <f>IF(Table242[[#This Row],[Performance Rating]]="On Time",1,0)</f>
        <v>0</v>
      </c>
    </row>
    <row r="79" spans="1:14" x14ac:dyDescent="0.35">
      <c r="A79" t="s">
        <v>75</v>
      </c>
      <c r="B79" t="s">
        <v>416</v>
      </c>
      <c r="C79" t="s">
        <v>584</v>
      </c>
      <c r="D79" s="2" t="s">
        <v>591</v>
      </c>
      <c r="E79" s="1" t="s">
        <v>596</v>
      </c>
      <c r="F79" s="3">
        <v>23</v>
      </c>
      <c r="G79" s="4">
        <v>60000</v>
      </c>
      <c r="H79" s="5">
        <v>146</v>
      </c>
      <c r="I79" s="6">
        <v>45703</v>
      </c>
      <c r="J79" s="2" t="s">
        <v>597</v>
      </c>
      <c r="K79" s="15">
        <f>PRODUCT(Table242[[#This Row],[Ticket Price]],Table242[[#This Row],[Passenger Count]])</f>
        <v>8760000</v>
      </c>
      <c r="L79" s="15">
        <f>Table242[[#This Row],[Revenue]]*(1-$Q$2)</f>
        <v>7884000</v>
      </c>
      <c r="M79" t="str">
        <f t="shared" si="1"/>
        <v>Slight Delay</v>
      </c>
      <c r="N79">
        <f>IF(Table242[[#This Row],[Performance Rating]]="On Time",1,0)</f>
        <v>0</v>
      </c>
    </row>
    <row r="80" spans="1:14" x14ac:dyDescent="0.35">
      <c r="A80" t="s">
        <v>76</v>
      </c>
      <c r="B80" t="s">
        <v>417</v>
      </c>
      <c r="C80" t="s">
        <v>581</v>
      </c>
      <c r="D80" s="2" t="s">
        <v>585</v>
      </c>
      <c r="E80" s="1" t="s">
        <v>592</v>
      </c>
      <c r="F80" s="3">
        <v>52</v>
      </c>
      <c r="G80" s="4">
        <v>115000</v>
      </c>
      <c r="H80" s="5">
        <v>115</v>
      </c>
      <c r="I80" s="6">
        <v>45777</v>
      </c>
      <c r="J80" s="2" t="s">
        <v>598</v>
      </c>
      <c r="K80" s="15">
        <f>PRODUCT(Table242[[#This Row],[Ticket Price]],Table242[[#This Row],[Passenger Count]])</f>
        <v>13225000</v>
      </c>
      <c r="L80" s="15">
        <f>Table242[[#This Row],[Revenue]]*(1-$Q$2)</f>
        <v>11902500</v>
      </c>
      <c r="M80" t="str">
        <f t="shared" si="1"/>
        <v>Late</v>
      </c>
      <c r="N80">
        <f>IF(Table242[[#This Row],[Performance Rating]]="On Time",1,0)</f>
        <v>0</v>
      </c>
    </row>
    <row r="81" spans="1:14" x14ac:dyDescent="0.35">
      <c r="A81" t="s">
        <v>77</v>
      </c>
      <c r="B81" t="s">
        <v>418</v>
      </c>
      <c r="C81" t="s">
        <v>584</v>
      </c>
      <c r="D81" s="2" t="s">
        <v>589</v>
      </c>
      <c r="E81" s="1" t="s">
        <v>592</v>
      </c>
      <c r="F81" s="3">
        <v>49</v>
      </c>
      <c r="G81" s="4">
        <v>135000</v>
      </c>
      <c r="H81" s="5">
        <v>151</v>
      </c>
      <c r="I81" s="6">
        <v>45774</v>
      </c>
      <c r="J81" s="2" t="s">
        <v>598</v>
      </c>
      <c r="K81" s="15">
        <f>PRODUCT(Table242[[#This Row],[Ticket Price]],Table242[[#This Row],[Passenger Count]])</f>
        <v>20385000</v>
      </c>
      <c r="L81" s="15">
        <f>Table242[[#This Row],[Revenue]]*(1-$Q$2)</f>
        <v>18346500</v>
      </c>
      <c r="M81" t="str">
        <f t="shared" si="1"/>
        <v>Late</v>
      </c>
      <c r="N81">
        <f>IF(Table242[[#This Row],[Performance Rating]]="On Time",1,0)</f>
        <v>0</v>
      </c>
    </row>
    <row r="82" spans="1:14" x14ac:dyDescent="0.35">
      <c r="A82" t="s">
        <v>78</v>
      </c>
      <c r="B82" t="s">
        <v>364</v>
      </c>
      <c r="C82" t="s">
        <v>581</v>
      </c>
      <c r="D82" s="2" t="s">
        <v>583</v>
      </c>
      <c r="E82" s="1" t="s">
        <v>592</v>
      </c>
      <c r="F82" s="3">
        <v>60</v>
      </c>
      <c r="G82" s="4">
        <v>80000</v>
      </c>
      <c r="H82" s="5">
        <v>169</v>
      </c>
      <c r="I82" s="6">
        <v>45717</v>
      </c>
      <c r="J82" s="2" t="s">
        <v>597</v>
      </c>
      <c r="K82" s="15">
        <f>PRODUCT(Table242[[#This Row],[Ticket Price]],Table242[[#This Row],[Passenger Count]])</f>
        <v>13520000</v>
      </c>
      <c r="L82" s="15">
        <f>Table242[[#This Row],[Revenue]]*(1-$Q$2)</f>
        <v>12168000</v>
      </c>
      <c r="M82" t="str">
        <f t="shared" si="1"/>
        <v>Late</v>
      </c>
      <c r="N82">
        <f>IF(Table242[[#This Row],[Performance Rating]]="On Time",1,0)</f>
        <v>0</v>
      </c>
    </row>
    <row r="83" spans="1:14" x14ac:dyDescent="0.35">
      <c r="A83" t="s">
        <v>79</v>
      </c>
      <c r="B83" t="s">
        <v>363</v>
      </c>
      <c r="C83" t="s">
        <v>582</v>
      </c>
      <c r="D83" s="2" t="s">
        <v>585</v>
      </c>
      <c r="E83" s="1" t="s">
        <v>593</v>
      </c>
      <c r="F83" s="3">
        <v>144</v>
      </c>
      <c r="G83" s="4">
        <v>85000</v>
      </c>
      <c r="H83" s="5">
        <v>148</v>
      </c>
      <c r="I83" s="6">
        <v>45684</v>
      </c>
      <c r="J83" s="2" t="s">
        <v>598</v>
      </c>
      <c r="K83" s="15">
        <f>PRODUCT(Table242[[#This Row],[Ticket Price]],Table242[[#This Row],[Passenger Count]])</f>
        <v>12580000</v>
      </c>
      <c r="L83" s="15">
        <f>Table242[[#This Row],[Revenue]]*(1-$Q$2)</f>
        <v>11322000</v>
      </c>
      <c r="M83" t="str">
        <f t="shared" si="1"/>
        <v>Late</v>
      </c>
      <c r="N83">
        <f>IF(Table242[[#This Row],[Performance Rating]]="On Time",1,0)</f>
        <v>0</v>
      </c>
    </row>
    <row r="84" spans="1:14" x14ac:dyDescent="0.35">
      <c r="A84" t="s">
        <v>80</v>
      </c>
      <c r="B84" t="s">
        <v>419</v>
      </c>
      <c r="C84" t="s">
        <v>581</v>
      </c>
      <c r="D84" s="2" t="s">
        <v>583</v>
      </c>
      <c r="E84" s="1" t="s">
        <v>593</v>
      </c>
      <c r="F84" s="3">
        <v>94</v>
      </c>
      <c r="G84" s="4">
        <v>150000</v>
      </c>
      <c r="H84" s="5">
        <v>143</v>
      </c>
      <c r="I84" s="6">
        <v>45812</v>
      </c>
      <c r="J84" s="2" t="s">
        <v>597</v>
      </c>
      <c r="K84" s="15">
        <f>PRODUCT(Table242[[#This Row],[Ticket Price]],Table242[[#This Row],[Passenger Count]])</f>
        <v>21450000</v>
      </c>
      <c r="L84" s="15">
        <f>Table242[[#This Row],[Revenue]]*(1-$Q$2)</f>
        <v>19305000</v>
      </c>
      <c r="M84" t="str">
        <f t="shared" si="1"/>
        <v>Late</v>
      </c>
      <c r="N84">
        <f>IF(Table242[[#This Row],[Performance Rating]]="On Time",1,0)</f>
        <v>0</v>
      </c>
    </row>
    <row r="85" spans="1:14" x14ac:dyDescent="0.35">
      <c r="A85" t="s">
        <v>81</v>
      </c>
      <c r="B85" t="s">
        <v>420</v>
      </c>
      <c r="C85" t="s">
        <v>587</v>
      </c>
      <c r="D85" s="2" t="s">
        <v>591</v>
      </c>
      <c r="E85" s="1" t="s">
        <v>592</v>
      </c>
      <c r="F85" s="3">
        <v>11</v>
      </c>
      <c r="G85" s="4">
        <v>45000</v>
      </c>
      <c r="H85" s="5">
        <v>67</v>
      </c>
      <c r="I85" s="6">
        <v>45824</v>
      </c>
      <c r="J85" s="2" t="s">
        <v>597</v>
      </c>
      <c r="K85" s="15">
        <f>PRODUCT(Table242[[#This Row],[Ticket Price]],Table242[[#This Row],[Passenger Count]])</f>
        <v>3015000</v>
      </c>
      <c r="L85" s="15">
        <f>Table242[[#This Row],[Revenue]]*(1-$Q$2)</f>
        <v>2713500</v>
      </c>
      <c r="M85" t="str">
        <f t="shared" si="1"/>
        <v>Slight Delay</v>
      </c>
      <c r="N85">
        <f>IF(Table242[[#This Row],[Performance Rating]]="On Time",1,0)</f>
        <v>0</v>
      </c>
    </row>
    <row r="86" spans="1:14" x14ac:dyDescent="0.35">
      <c r="A86" t="s">
        <v>82</v>
      </c>
      <c r="B86" t="s">
        <v>421</v>
      </c>
      <c r="C86" t="s">
        <v>586</v>
      </c>
      <c r="D86" s="2" t="s">
        <v>589</v>
      </c>
      <c r="E86" s="1" t="s">
        <v>596</v>
      </c>
      <c r="F86" s="3">
        <v>46</v>
      </c>
      <c r="G86" s="4">
        <v>35000</v>
      </c>
      <c r="H86" s="5">
        <v>138</v>
      </c>
      <c r="I86" s="6">
        <v>45756</v>
      </c>
      <c r="J86" s="2" t="s">
        <v>598</v>
      </c>
      <c r="K86" s="15">
        <f>PRODUCT(Table242[[#This Row],[Ticket Price]],Table242[[#This Row],[Passenger Count]])</f>
        <v>4830000</v>
      </c>
      <c r="L86" s="15">
        <f>Table242[[#This Row],[Revenue]]*(1-$Q$2)</f>
        <v>4347000</v>
      </c>
      <c r="M86" t="str">
        <f t="shared" si="1"/>
        <v>Late</v>
      </c>
      <c r="N86">
        <f>IF(Table242[[#This Row],[Performance Rating]]="On Time",1,0)</f>
        <v>0</v>
      </c>
    </row>
    <row r="87" spans="1:14" x14ac:dyDescent="0.35">
      <c r="A87" t="s">
        <v>83</v>
      </c>
      <c r="B87" t="s">
        <v>422</v>
      </c>
      <c r="C87" t="s">
        <v>584</v>
      </c>
      <c r="D87" s="2" t="s">
        <v>587</v>
      </c>
      <c r="E87" s="1" t="s">
        <v>595</v>
      </c>
      <c r="F87" s="3">
        <v>31</v>
      </c>
      <c r="G87" s="4">
        <v>50000</v>
      </c>
      <c r="H87" s="5">
        <v>149</v>
      </c>
      <c r="I87" s="6">
        <v>45813</v>
      </c>
      <c r="J87" s="2" t="s">
        <v>598</v>
      </c>
      <c r="K87" s="15">
        <f>PRODUCT(Table242[[#This Row],[Ticket Price]],Table242[[#This Row],[Passenger Count]])</f>
        <v>7450000</v>
      </c>
      <c r="L87" s="15">
        <f>Table242[[#This Row],[Revenue]]*(1-$Q$2)</f>
        <v>6705000</v>
      </c>
      <c r="M87" t="str">
        <f t="shared" si="1"/>
        <v>Late</v>
      </c>
      <c r="N87">
        <f>IF(Table242[[#This Row],[Performance Rating]]="On Time",1,0)</f>
        <v>0</v>
      </c>
    </row>
    <row r="88" spans="1:14" x14ac:dyDescent="0.35">
      <c r="A88" t="s">
        <v>84</v>
      </c>
      <c r="B88" t="s">
        <v>373</v>
      </c>
      <c r="C88" t="s">
        <v>587</v>
      </c>
      <c r="D88" s="2" t="s">
        <v>582</v>
      </c>
      <c r="E88" s="1" t="s">
        <v>592</v>
      </c>
      <c r="F88" s="3">
        <v>112</v>
      </c>
      <c r="G88" s="4">
        <v>85000</v>
      </c>
      <c r="H88" s="5">
        <v>96</v>
      </c>
      <c r="I88" s="6">
        <v>45825</v>
      </c>
      <c r="J88" s="2" t="s">
        <v>597</v>
      </c>
      <c r="K88" s="15">
        <f>PRODUCT(Table242[[#This Row],[Ticket Price]],Table242[[#This Row],[Passenger Count]])</f>
        <v>8160000</v>
      </c>
      <c r="L88" s="15">
        <f>Table242[[#This Row],[Revenue]]*(1-$Q$2)</f>
        <v>7344000</v>
      </c>
      <c r="M88" t="str">
        <f t="shared" si="1"/>
        <v>Late</v>
      </c>
      <c r="N88">
        <f>IF(Table242[[#This Row],[Performance Rating]]="On Time",1,0)</f>
        <v>0</v>
      </c>
    </row>
    <row r="89" spans="1:14" x14ac:dyDescent="0.35">
      <c r="A89" t="s">
        <v>85</v>
      </c>
      <c r="B89" t="s">
        <v>423</v>
      </c>
      <c r="C89" t="s">
        <v>587</v>
      </c>
      <c r="D89" s="2" t="s">
        <v>585</v>
      </c>
      <c r="E89" s="1" t="s">
        <v>595</v>
      </c>
      <c r="F89" s="3">
        <v>85</v>
      </c>
      <c r="G89" s="4">
        <v>65000</v>
      </c>
      <c r="H89" s="5">
        <v>131</v>
      </c>
      <c r="I89" s="6">
        <v>45692</v>
      </c>
      <c r="J89" s="2" t="s">
        <v>597</v>
      </c>
      <c r="K89" s="15">
        <f>PRODUCT(Table242[[#This Row],[Ticket Price]],Table242[[#This Row],[Passenger Count]])</f>
        <v>8515000</v>
      </c>
      <c r="L89" s="15">
        <f>Table242[[#This Row],[Revenue]]*(1-$Q$2)</f>
        <v>7663500</v>
      </c>
      <c r="M89" t="str">
        <f t="shared" si="1"/>
        <v>Late</v>
      </c>
      <c r="N89">
        <f>IF(Table242[[#This Row],[Performance Rating]]="On Time",1,0)</f>
        <v>0</v>
      </c>
    </row>
    <row r="90" spans="1:14" x14ac:dyDescent="0.35">
      <c r="A90" t="s">
        <v>86</v>
      </c>
      <c r="B90" t="s">
        <v>424</v>
      </c>
      <c r="C90" t="s">
        <v>584</v>
      </c>
      <c r="D90" s="2" t="s">
        <v>590</v>
      </c>
      <c r="E90" s="1" t="s">
        <v>593</v>
      </c>
      <c r="F90" s="3">
        <v>168</v>
      </c>
      <c r="G90" s="4">
        <v>135000</v>
      </c>
      <c r="H90" s="5">
        <v>97</v>
      </c>
      <c r="I90" s="6">
        <v>45798</v>
      </c>
      <c r="J90" s="2" t="s">
        <v>598</v>
      </c>
      <c r="K90" s="15">
        <f>PRODUCT(Table242[[#This Row],[Ticket Price]],Table242[[#This Row],[Passenger Count]])</f>
        <v>13095000</v>
      </c>
      <c r="L90" s="15">
        <f>Table242[[#This Row],[Revenue]]*(1-$Q$2)</f>
        <v>11785500</v>
      </c>
      <c r="M90" t="str">
        <f t="shared" si="1"/>
        <v>Late</v>
      </c>
      <c r="N90">
        <f>IF(Table242[[#This Row],[Performance Rating]]="On Time",1,0)</f>
        <v>0</v>
      </c>
    </row>
    <row r="91" spans="1:14" x14ac:dyDescent="0.35">
      <c r="A91" t="s">
        <v>600</v>
      </c>
      <c r="B91" t="s">
        <v>425</v>
      </c>
      <c r="C91" t="s">
        <v>581</v>
      </c>
      <c r="D91" s="2" t="s">
        <v>589</v>
      </c>
      <c r="E91" s="1" t="s">
        <v>592</v>
      </c>
      <c r="F91" s="3">
        <v>115</v>
      </c>
      <c r="G91" s="4">
        <v>90000</v>
      </c>
      <c r="H91" s="5">
        <v>83</v>
      </c>
      <c r="I91" s="6">
        <v>45664</v>
      </c>
      <c r="J91" s="2" t="s">
        <v>598</v>
      </c>
      <c r="K91" s="15">
        <f>PRODUCT(Table242[[#This Row],[Ticket Price]],Table242[[#This Row],[Passenger Count]])</f>
        <v>7470000</v>
      </c>
      <c r="L91" s="15">
        <f>Table242[[#This Row],[Revenue]]*(1-$Q$2)</f>
        <v>6723000</v>
      </c>
      <c r="M91" t="str">
        <f t="shared" si="1"/>
        <v>Late</v>
      </c>
      <c r="N91">
        <f>IF(Table242[[#This Row],[Performance Rating]]="On Time",1,0)</f>
        <v>0</v>
      </c>
    </row>
    <row r="92" spans="1:14" x14ac:dyDescent="0.35">
      <c r="A92" t="s">
        <v>87</v>
      </c>
      <c r="B92" t="s">
        <v>409</v>
      </c>
      <c r="C92" t="s">
        <v>585</v>
      </c>
      <c r="D92" s="2" t="s">
        <v>583</v>
      </c>
      <c r="E92" s="1" t="s">
        <v>596</v>
      </c>
      <c r="F92" s="3">
        <v>60</v>
      </c>
      <c r="G92" s="4">
        <v>75000</v>
      </c>
      <c r="H92" s="5">
        <v>125</v>
      </c>
      <c r="I92" s="6">
        <v>45782</v>
      </c>
      <c r="J92" s="2" t="s">
        <v>598</v>
      </c>
      <c r="K92" s="15">
        <f>PRODUCT(Table242[[#This Row],[Ticket Price]],Table242[[#This Row],[Passenger Count]])</f>
        <v>9375000</v>
      </c>
      <c r="L92" s="15">
        <f>Table242[[#This Row],[Revenue]]*(1-$Q$2)</f>
        <v>8437500</v>
      </c>
      <c r="M92" t="str">
        <f t="shared" si="1"/>
        <v>Late</v>
      </c>
      <c r="N92">
        <f>IF(Table242[[#This Row],[Performance Rating]]="On Time",1,0)</f>
        <v>0</v>
      </c>
    </row>
    <row r="93" spans="1:14" x14ac:dyDescent="0.35">
      <c r="A93" t="s">
        <v>88</v>
      </c>
      <c r="B93" t="s">
        <v>415</v>
      </c>
      <c r="C93" t="s">
        <v>583</v>
      </c>
      <c r="D93" s="2" t="s">
        <v>587</v>
      </c>
      <c r="E93" s="1" t="s">
        <v>594</v>
      </c>
      <c r="F93" s="3">
        <v>80</v>
      </c>
      <c r="G93" s="4">
        <v>115000</v>
      </c>
      <c r="H93" s="5">
        <v>112</v>
      </c>
      <c r="I93" s="6">
        <v>45798</v>
      </c>
      <c r="J93" s="2" t="s">
        <v>597</v>
      </c>
      <c r="K93" s="15">
        <f>PRODUCT(Table242[[#This Row],[Ticket Price]],Table242[[#This Row],[Passenger Count]])</f>
        <v>12880000</v>
      </c>
      <c r="L93" s="15">
        <f>Table242[[#This Row],[Revenue]]*(1-$Q$2)</f>
        <v>11592000</v>
      </c>
      <c r="M93" t="str">
        <f t="shared" si="1"/>
        <v>Late</v>
      </c>
      <c r="N93">
        <f>IF(Table242[[#This Row],[Performance Rating]]="On Time",1,0)</f>
        <v>0</v>
      </c>
    </row>
    <row r="94" spans="1:14" x14ac:dyDescent="0.35">
      <c r="A94" t="s">
        <v>89</v>
      </c>
      <c r="B94" t="s">
        <v>426</v>
      </c>
      <c r="C94" t="s">
        <v>588</v>
      </c>
      <c r="D94" s="2" t="s">
        <v>589</v>
      </c>
      <c r="E94" s="1" t="s">
        <v>595</v>
      </c>
      <c r="F94" s="3">
        <v>118</v>
      </c>
      <c r="G94" s="4">
        <v>90000</v>
      </c>
      <c r="H94" s="5">
        <v>95</v>
      </c>
      <c r="I94" s="6">
        <v>45761</v>
      </c>
      <c r="J94" s="2" t="s">
        <v>597</v>
      </c>
      <c r="K94" s="15">
        <f>PRODUCT(Table242[[#This Row],[Ticket Price]],Table242[[#This Row],[Passenger Count]])</f>
        <v>8550000</v>
      </c>
      <c r="L94" s="15">
        <f>Table242[[#This Row],[Revenue]]*(1-$Q$2)</f>
        <v>7695000</v>
      </c>
      <c r="M94" t="str">
        <f t="shared" si="1"/>
        <v>Late</v>
      </c>
      <c r="N94">
        <f>IF(Table242[[#This Row],[Performance Rating]]="On Time",1,0)</f>
        <v>0</v>
      </c>
    </row>
    <row r="95" spans="1:14" x14ac:dyDescent="0.35">
      <c r="A95" t="s">
        <v>90</v>
      </c>
      <c r="B95" t="s">
        <v>370</v>
      </c>
      <c r="C95" t="s">
        <v>581</v>
      </c>
      <c r="D95" s="2" t="s">
        <v>585</v>
      </c>
      <c r="E95" s="1" t="s">
        <v>595</v>
      </c>
      <c r="F95" s="3">
        <v>180</v>
      </c>
      <c r="G95" s="4">
        <v>75000</v>
      </c>
      <c r="H95" s="5">
        <v>65</v>
      </c>
      <c r="I95" s="6">
        <v>45690</v>
      </c>
      <c r="J95" s="2" t="s">
        <v>598</v>
      </c>
      <c r="K95" s="15">
        <f>PRODUCT(Table242[[#This Row],[Ticket Price]],Table242[[#This Row],[Passenger Count]])</f>
        <v>4875000</v>
      </c>
      <c r="L95" s="15">
        <f>Table242[[#This Row],[Revenue]]*(1-$Q$2)</f>
        <v>4387500</v>
      </c>
      <c r="M95" t="str">
        <f t="shared" si="1"/>
        <v>Late</v>
      </c>
      <c r="N95">
        <f>IF(Table242[[#This Row],[Performance Rating]]="On Time",1,0)</f>
        <v>0</v>
      </c>
    </row>
    <row r="96" spans="1:14" x14ac:dyDescent="0.35">
      <c r="A96" t="s">
        <v>91</v>
      </c>
      <c r="B96" t="s">
        <v>427</v>
      </c>
      <c r="C96" t="s">
        <v>583</v>
      </c>
      <c r="D96" s="2" t="s">
        <v>591</v>
      </c>
      <c r="E96" s="1" t="s">
        <v>593</v>
      </c>
      <c r="F96" s="3">
        <v>35</v>
      </c>
      <c r="G96" s="4">
        <v>75000</v>
      </c>
      <c r="H96" s="5">
        <v>173</v>
      </c>
      <c r="I96" s="6">
        <v>45811</v>
      </c>
      <c r="J96" s="2" t="s">
        <v>598</v>
      </c>
      <c r="K96" s="15">
        <f>PRODUCT(Table242[[#This Row],[Ticket Price]],Table242[[#This Row],[Passenger Count]])</f>
        <v>12975000</v>
      </c>
      <c r="L96" s="15">
        <f>Table242[[#This Row],[Revenue]]*(1-$Q$2)</f>
        <v>11677500</v>
      </c>
      <c r="M96" t="str">
        <f t="shared" si="1"/>
        <v>Late</v>
      </c>
      <c r="N96">
        <f>IF(Table242[[#This Row],[Performance Rating]]="On Time",1,0)</f>
        <v>0</v>
      </c>
    </row>
    <row r="97" spans="1:14" x14ac:dyDescent="0.35">
      <c r="A97" t="s">
        <v>92</v>
      </c>
      <c r="B97" t="s">
        <v>428</v>
      </c>
      <c r="C97" t="s">
        <v>585</v>
      </c>
      <c r="D97" s="2" t="s">
        <v>590</v>
      </c>
      <c r="E97" s="1" t="s">
        <v>595</v>
      </c>
      <c r="F97" s="3">
        <v>48</v>
      </c>
      <c r="G97" s="4">
        <v>65000</v>
      </c>
      <c r="H97" s="5">
        <v>175</v>
      </c>
      <c r="I97" s="6">
        <v>45796</v>
      </c>
      <c r="J97" s="2" t="s">
        <v>597</v>
      </c>
      <c r="K97" s="15">
        <f>PRODUCT(Table242[[#This Row],[Ticket Price]],Table242[[#This Row],[Passenger Count]])</f>
        <v>11375000</v>
      </c>
      <c r="L97" s="15">
        <f>Table242[[#This Row],[Revenue]]*(1-$Q$2)</f>
        <v>10237500</v>
      </c>
      <c r="M97" t="str">
        <f t="shared" si="1"/>
        <v>Late</v>
      </c>
      <c r="N97">
        <f>IF(Table242[[#This Row],[Performance Rating]]="On Time",1,0)</f>
        <v>0</v>
      </c>
    </row>
    <row r="98" spans="1:14" x14ac:dyDescent="0.35">
      <c r="A98" t="s">
        <v>93</v>
      </c>
      <c r="B98" t="s">
        <v>429</v>
      </c>
      <c r="C98" t="s">
        <v>584</v>
      </c>
      <c r="D98" s="2" t="s">
        <v>585</v>
      </c>
      <c r="E98" s="1" t="s">
        <v>592</v>
      </c>
      <c r="F98" s="3">
        <v>11</v>
      </c>
      <c r="G98" s="4">
        <v>60000</v>
      </c>
      <c r="H98" s="5">
        <v>87</v>
      </c>
      <c r="I98" s="6">
        <v>45734</v>
      </c>
      <c r="J98" s="2" t="s">
        <v>597</v>
      </c>
      <c r="K98" s="15">
        <f>PRODUCT(Table242[[#This Row],[Ticket Price]],Table242[[#This Row],[Passenger Count]])</f>
        <v>5220000</v>
      </c>
      <c r="L98" s="15">
        <f>Table242[[#This Row],[Revenue]]*(1-$Q$2)</f>
        <v>4698000</v>
      </c>
      <c r="M98" t="str">
        <f t="shared" si="1"/>
        <v>Slight Delay</v>
      </c>
      <c r="N98">
        <f>IF(Table242[[#This Row],[Performance Rating]]="On Time",1,0)</f>
        <v>0</v>
      </c>
    </row>
    <row r="99" spans="1:14" x14ac:dyDescent="0.35">
      <c r="A99" t="s">
        <v>94</v>
      </c>
      <c r="B99" t="s">
        <v>405</v>
      </c>
      <c r="C99" t="s">
        <v>586</v>
      </c>
      <c r="D99" s="2" t="s">
        <v>589</v>
      </c>
      <c r="E99" s="1" t="s">
        <v>594</v>
      </c>
      <c r="F99" s="3">
        <v>180</v>
      </c>
      <c r="G99" s="4">
        <v>125000</v>
      </c>
      <c r="H99" s="5">
        <v>67</v>
      </c>
      <c r="I99" s="6">
        <v>45805</v>
      </c>
      <c r="J99" s="2" t="s">
        <v>598</v>
      </c>
      <c r="K99" s="15">
        <f>PRODUCT(Table242[[#This Row],[Ticket Price]],Table242[[#This Row],[Passenger Count]])</f>
        <v>8375000</v>
      </c>
      <c r="L99" s="15">
        <f>Table242[[#This Row],[Revenue]]*(1-$Q$2)</f>
        <v>7537500</v>
      </c>
      <c r="M99" t="str">
        <f t="shared" si="1"/>
        <v>Late</v>
      </c>
      <c r="N99">
        <f>IF(Table242[[#This Row],[Performance Rating]]="On Time",1,0)</f>
        <v>0</v>
      </c>
    </row>
    <row r="100" spans="1:14" x14ac:dyDescent="0.35">
      <c r="A100" t="s">
        <v>95</v>
      </c>
      <c r="B100" t="s">
        <v>389</v>
      </c>
      <c r="C100" t="s">
        <v>582</v>
      </c>
      <c r="D100" s="2" t="s">
        <v>590</v>
      </c>
      <c r="E100" s="1" t="s">
        <v>595</v>
      </c>
      <c r="F100" s="3">
        <v>137</v>
      </c>
      <c r="G100" s="4">
        <v>30000</v>
      </c>
      <c r="H100" s="5">
        <v>96</v>
      </c>
      <c r="I100" s="6">
        <v>45679</v>
      </c>
      <c r="J100" s="2" t="s">
        <v>597</v>
      </c>
      <c r="K100" s="15">
        <f>PRODUCT(Table242[[#This Row],[Ticket Price]],Table242[[#This Row],[Passenger Count]])</f>
        <v>2880000</v>
      </c>
      <c r="L100" s="15">
        <f>Table242[[#This Row],[Revenue]]*(1-$Q$2)</f>
        <v>2592000</v>
      </c>
      <c r="M100" t="str">
        <f t="shared" si="1"/>
        <v>Late</v>
      </c>
      <c r="N100">
        <f>IF(Table242[[#This Row],[Performance Rating]]="On Time",1,0)</f>
        <v>0</v>
      </c>
    </row>
    <row r="101" spans="1:14" x14ac:dyDescent="0.35">
      <c r="A101" t="s">
        <v>96</v>
      </c>
      <c r="B101" t="s">
        <v>430</v>
      </c>
      <c r="C101" t="s">
        <v>584</v>
      </c>
      <c r="D101" s="2" t="s">
        <v>583</v>
      </c>
      <c r="E101" s="1" t="s">
        <v>595</v>
      </c>
      <c r="F101" s="3">
        <v>55</v>
      </c>
      <c r="G101" s="4">
        <v>115000</v>
      </c>
      <c r="H101" s="5">
        <v>140</v>
      </c>
      <c r="I101" s="6">
        <v>45685</v>
      </c>
      <c r="J101" s="2" t="s">
        <v>598</v>
      </c>
      <c r="K101" s="15">
        <f>PRODUCT(Table242[[#This Row],[Ticket Price]],Table242[[#This Row],[Passenger Count]])</f>
        <v>16100000</v>
      </c>
      <c r="L101" s="15">
        <f>Table242[[#This Row],[Revenue]]*(1-$Q$2)</f>
        <v>14490000</v>
      </c>
      <c r="M101" t="str">
        <f t="shared" si="1"/>
        <v>Late</v>
      </c>
      <c r="N101">
        <f>IF(Table242[[#This Row],[Performance Rating]]="On Time",1,0)</f>
        <v>0</v>
      </c>
    </row>
    <row r="102" spans="1:14" x14ac:dyDescent="0.35">
      <c r="A102" t="s">
        <v>97</v>
      </c>
      <c r="B102" t="s">
        <v>385</v>
      </c>
      <c r="C102" t="s">
        <v>581</v>
      </c>
      <c r="D102" s="2" t="s">
        <v>582</v>
      </c>
      <c r="E102" s="1" t="s">
        <v>595</v>
      </c>
      <c r="F102" s="3">
        <v>150</v>
      </c>
      <c r="G102" s="4">
        <v>95000</v>
      </c>
      <c r="H102" s="5">
        <v>122</v>
      </c>
      <c r="I102" s="6">
        <v>45828</v>
      </c>
      <c r="J102" s="2" t="s">
        <v>598</v>
      </c>
      <c r="K102" s="15">
        <f>PRODUCT(Table242[[#This Row],[Ticket Price]],Table242[[#This Row],[Passenger Count]])</f>
        <v>11590000</v>
      </c>
      <c r="L102" s="15">
        <f>Table242[[#This Row],[Revenue]]*(1-$Q$2)</f>
        <v>10431000</v>
      </c>
      <c r="M102" t="str">
        <f t="shared" si="1"/>
        <v>Late</v>
      </c>
      <c r="N102">
        <f>IF(Table242[[#This Row],[Performance Rating]]="On Time",1,0)</f>
        <v>0</v>
      </c>
    </row>
    <row r="103" spans="1:14" x14ac:dyDescent="0.35">
      <c r="A103" t="s">
        <v>98</v>
      </c>
      <c r="B103" t="s">
        <v>431</v>
      </c>
      <c r="C103" t="s">
        <v>586</v>
      </c>
      <c r="D103" s="2" t="s">
        <v>589</v>
      </c>
      <c r="E103" s="1" t="s">
        <v>592</v>
      </c>
      <c r="F103" s="3">
        <v>72</v>
      </c>
      <c r="G103" s="4">
        <v>105000</v>
      </c>
      <c r="H103" s="5">
        <v>129</v>
      </c>
      <c r="I103" s="6">
        <v>45805</v>
      </c>
      <c r="J103" s="2" t="s">
        <v>598</v>
      </c>
      <c r="K103" s="15">
        <f>PRODUCT(Table242[[#This Row],[Ticket Price]],Table242[[#This Row],[Passenger Count]])</f>
        <v>13545000</v>
      </c>
      <c r="L103" s="15">
        <f>Table242[[#This Row],[Revenue]]*(1-$Q$2)</f>
        <v>12190500</v>
      </c>
      <c r="M103" t="str">
        <f t="shared" si="1"/>
        <v>Late</v>
      </c>
      <c r="N103">
        <f>IF(Table242[[#This Row],[Performance Rating]]="On Time",1,0)</f>
        <v>0</v>
      </c>
    </row>
    <row r="104" spans="1:14" x14ac:dyDescent="0.35">
      <c r="A104" t="s">
        <v>99</v>
      </c>
      <c r="B104" t="s">
        <v>423</v>
      </c>
      <c r="C104" t="s">
        <v>581</v>
      </c>
      <c r="D104" s="2" t="s">
        <v>584</v>
      </c>
      <c r="E104" s="1" t="s">
        <v>594</v>
      </c>
      <c r="F104" s="3">
        <v>96</v>
      </c>
      <c r="G104" s="4">
        <v>65000</v>
      </c>
      <c r="H104" s="5">
        <v>126</v>
      </c>
      <c r="I104" s="6">
        <v>45808</v>
      </c>
      <c r="J104" s="2" t="s">
        <v>597</v>
      </c>
      <c r="K104" s="15">
        <f>PRODUCT(Table242[[#This Row],[Ticket Price]],Table242[[#This Row],[Passenger Count]])</f>
        <v>8190000</v>
      </c>
      <c r="L104" s="15">
        <f>Table242[[#This Row],[Revenue]]*(1-$Q$2)</f>
        <v>7371000</v>
      </c>
      <c r="M104" t="str">
        <f t="shared" si="1"/>
        <v>Late</v>
      </c>
      <c r="N104">
        <f>IF(Table242[[#This Row],[Performance Rating]]="On Time",1,0)</f>
        <v>0</v>
      </c>
    </row>
    <row r="105" spans="1:14" x14ac:dyDescent="0.35">
      <c r="A105" t="s">
        <v>100</v>
      </c>
      <c r="B105" t="s">
        <v>432</v>
      </c>
      <c r="C105" t="s">
        <v>582</v>
      </c>
      <c r="D105" s="2" t="s">
        <v>583</v>
      </c>
      <c r="E105" s="1" t="s">
        <v>596</v>
      </c>
      <c r="F105" s="3">
        <v>75</v>
      </c>
      <c r="G105" s="4">
        <v>145000</v>
      </c>
      <c r="H105" s="5">
        <v>120</v>
      </c>
      <c r="I105" s="6">
        <v>45727</v>
      </c>
      <c r="J105" s="2" t="s">
        <v>597</v>
      </c>
      <c r="K105" s="15">
        <f>PRODUCT(Table242[[#This Row],[Ticket Price]],Table242[[#This Row],[Passenger Count]])</f>
        <v>17400000</v>
      </c>
      <c r="L105" s="15">
        <f>Table242[[#This Row],[Revenue]]*(1-$Q$2)</f>
        <v>15660000</v>
      </c>
      <c r="M105" t="str">
        <f t="shared" si="1"/>
        <v>Late</v>
      </c>
      <c r="N105">
        <f>IF(Table242[[#This Row],[Performance Rating]]="On Time",1,0)</f>
        <v>0</v>
      </c>
    </row>
    <row r="106" spans="1:14" x14ac:dyDescent="0.35">
      <c r="A106" t="s">
        <v>101</v>
      </c>
      <c r="B106" t="s">
        <v>433</v>
      </c>
      <c r="C106" t="s">
        <v>585</v>
      </c>
      <c r="D106" s="2" t="s">
        <v>589</v>
      </c>
      <c r="E106" s="1" t="s">
        <v>592</v>
      </c>
      <c r="F106" s="3">
        <v>158</v>
      </c>
      <c r="G106" s="4">
        <v>65000</v>
      </c>
      <c r="H106" s="5">
        <v>108</v>
      </c>
      <c r="I106" s="6">
        <v>45836</v>
      </c>
      <c r="J106" s="2" t="s">
        <v>597</v>
      </c>
      <c r="K106" s="15">
        <f>PRODUCT(Table242[[#This Row],[Ticket Price]],Table242[[#This Row],[Passenger Count]])</f>
        <v>7020000</v>
      </c>
      <c r="L106" s="15">
        <f>Table242[[#This Row],[Revenue]]*(1-$Q$2)</f>
        <v>6318000</v>
      </c>
      <c r="M106" t="str">
        <f t="shared" si="1"/>
        <v>Late</v>
      </c>
      <c r="N106">
        <f>IF(Table242[[#This Row],[Performance Rating]]="On Time",1,0)</f>
        <v>0</v>
      </c>
    </row>
    <row r="107" spans="1:14" x14ac:dyDescent="0.35">
      <c r="A107" t="s">
        <v>102</v>
      </c>
      <c r="B107" t="s">
        <v>434</v>
      </c>
      <c r="C107" t="s">
        <v>582</v>
      </c>
      <c r="D107" s="2" t="s">
        <v>589</v>
      </c>
      <c r="E107" s="1" t="s">
        <v>592</v>
      </c>
      <c r="F107" s="3">
        <v>127</v>
      </c>
      <c r="G107" s="4">
        <v>80000</v>
      </c>
      <c r="H107" s="5">
        <v>60</v>
      </c>
      <c r="I107" s="6">
        <v>45742</v>
      </c>
      <c r="J107" s="2" t="s">
        <v>597</v>
      </c>
      <c r="K107" s="15">
        <f>PRODUCT(Table242[[#This Row],[Ticket Price]],Table242[[#This Row],[Passenger Count]])</f>
        <v>4800000</v>
      </c>
      <c r="L107" s="15">
        <f>Table242[[#This Row],[Revenue]]*(1-$Q$2)</f>
        <v>4320000</v>
      </c>
      <c r="M107" t="str">
        <f t="shared" si="1"/>
        <v>Late</v>
      </c>
      <c r="N107">
        <f>IF(Table242[[#This Row],[Performance Rating]]="On Time",1,0)</f>
        <v>0</v>
      </c>
    </row>
    <row r="108" spans="1:14" x14ac:dyDescent="0.35">
      <c r="A108" t="s">
        <v>103</v>
      </c>
      <c r="B108" t="s">
        <v>435</v>
      </c>
      <c r="C108" t="s">
        <v>587</v>
      </c>
      <c r="D108" s="2" t="s">
        <v>583</v>
      </c>
      <c r="E108" s="1" t="s">
        <v>592</v>
      </c>
      <c r="F108" s="3">
        <v>12</v>
      </c>
      <c r="G108" s="4">
        <v>95000</v>
      </c>
      <c r="H108" s="5">
        <v>82</v>
      </c>
      <c r="I108" s="6">
        <v>45751</v>
      </c>
      <c r="J108" s="2" t="s">
        <v>597</v>
      </c>
      <c r="K108" s="15">
        <f>PRODUCT(Table242[[#This Row],[Ticket Price]],Table242[[#This Row],[Passenger Count]])</f>
        <v>7790000</v>
      </c>
      <c r="L108" s="15">
        <f>Table242[[#This Row],[Revenue]]*(1-$Q$2)</f>
        <v>7011000</v>
      </c>
      <c r="M108" t="str">
        <f t="shared" si="1"/>
        <v>Slight Delay</v>
      </c>
      <c r="N108">
        <f>IF(Table242[[#This Row],[Performance Rating]]="On Time",1,0)</f>
        <v>0</v>
      </c>
    </row>
    <row r="109" spans="1:14" x14ac:dyDescent="0.35">
      <c r="A109" t="s">
        <v>104</v>
      </c>
      <c r="B109" t="s">
        <v>427</v>
      </c>
      <c r="C109" t="s">
        <v>588</v>
      </c>
      <c r="D109" s="2" t="s">
        <v>587</v>
      </c>
      <c r="E109" s="1" t="s">
        <v>593</v>
      </c>
      <c r="F109" s="3">
        <v>146</v>
      </c>
      <c r="G109" s="4">
        <v>55000</v>
      </c>
      <c r="H109" s="5">
        <v>165</v>
      </c>
      <c r="I109" s="6">
        <v>45725</v>
      </c>
      <c r="J109" s="2" t="s">
        <v>597</v>
      </c>
      <c r="K109" s="15">
        <f>PRODUCT(Table242[[#This Row],[Ticket Price]],Table242[[#This Row],[Passenger Count]])</f>
        <v>9075000</v>
      </c>
      <c r="L109" s="15">
        <f>Table242[[#This Row],[Revenue]]*(1-$Q$2)</f>
        <v>8167500</v>
      </c>
      <c r="M109" t="str">
        <f t="shared" si="1"/>
        <v>Late</v>
      </c>
      <c r="N109">
        <f>IF(Table242[[#This Row],[Performance Rating]]="On Time",1,0)</f>
        <v>0</v>
      </c>
    </row>
    <row r="110" spans="1:14" x14ac:dyDescent="0.35">
      <c r="A110" t="s">
        <v>105</v>
      </c>
      <c r="B110" t="s">
        <v>436</v>
      </c>
      <c r="C110" t="s">
        <v>585</v>
      </c>
      <c r="D110" s="2" t="s">
        <v>584</v>
      </c>
      <c r="E110" s="1" t="s">
        <v>596</v>
      </c>
      <c r="F110" s="3">
        <v>35</v>
      </c>
      <c r="G110" s="4">
        <v>85000</v>
      </c>
      <c r="H110" s="5">
        <v>152</v>
      </c>
      <c r="I110" s="6">
        <v>45666</v>
      </c>
      <c r="J110" s="2" t="s">
        <v>597</v>
      </c>
      <c r="K110" s="15">
        <f>PRODUCT(Table242[[#This Row],[Ticket Price]],Table242[[#This Row],[Passenger Count]])</f>
        <v>12920000</v>
      </c>
      <c r="L110" s="15">
        <f>Table242[[#This Row],[Revenue]]*(1-$Q$2)</f>
        <v>11628000</v>
      </c>
      <c r="M110" t="str">
        <f t="shared" si="1"/>
        <v>Late</v>
      </c>
      <c r="N110">
        <f>IF(Table242[[#This Row],[Performance Rating]]="On Time",1,0)</f>
        <v>0</v>
      </c>
    </row>
    <row r="111" spans="1:14" x14ac:dyDescent="0.35">
      <c r="A111" t="s">
        <v>106</v>
      </c>
      <c r="B111" t="s">
        <v>437</v>
      </c>
      <c r="C111" t="s">
        <v>584</v>
      </c>
      <c r="D111" s="2" t="s">
        <v>589</v>
      </c>
      <c r="E111" s="1" t="s">
        <v>592</v>
      </c>
      <c r="F111" s="3">
        <v>159</v>
      </c>
      <c r="G111" s="4">
        <v>100000</v>
      </c>
      <c r="H111" s="5">
        <v>66</v>
      </c>
      <c r="I111" s="6">
        <v>45716</v>
      </c>
      <c r="J111" s="2" t="s">
        <v>598</v>
      </c>
      <c r="K111" s="15">
        <f>PRODUCT(Table242[[#This Row],[Ticket Price]],Table242[[#This Row],[Passenger Count]])</f>
        <v>6600000</v>
      </c>
      <c r="L111" s="15">
        <f>Table242[[#This Row],[Revenue]]*(1-$Q$2)</f>
        <v>5940000</v>
      </c>
      <c r="M111" t="str">
        <f t="shared" si="1"/>
        <v>Late</v>
      </c>
      <c r="N111">
        <f>IF(Table242[[#This Row],[Performance Rating]]="On Time",1,0)</f>
        <v>0</v>
      </c>
    </row>
    <row r="112" spans="1:14" x14ac:dyDescent="0.35">
      <c r="A112" t="s">
        <v>107</v>
      </c>
      <c r="B112" t="s">
        <v>438</v>
      </c>
      <c r="C112" t="s">
        <v>585</v>
      </c>
      <c r="D112" s="2" t="s">
        <v>591</v>
      </c>
      <c r="E112" s="1" t="s">
        <v>596</v>
      </c>
      <c r="F112" s="3">
        <v>154</v>
      </c>
      <c r="G112" s="4">
        <v>105000</v>
      </c>
      <c r="H112" s="5">
        <v>167</v>
      </c>
      <c r="I112" s="6">
        <v>45662</v>
      </c>
      <c r="J112" s="2" t="s">
        <v>597</v>
      </c>
      <c r="K112" s="15">
        <f>PRODUCT(Table242[[#This Row],[Ticket Price]],Table242[[#This Row],[Passenger Count]])</f>
        <v>17535000</v>
      </c>
      <c r="L112" s="15">
        <f>Table242[[#This Row],[Revenue]]*(1-$Q$2)</f>
        <v>15781500</v>
      </c>
      <c r="M112" t="str">
        <f t="shared" si="1"/>
        <v>Late</v>
      </c>
      <c r="N112">
        <f>IF(Table242[[#This Row],[Performance Rating]]="On Time",1,0)</f>
        <v>0</v>
      </c>
    </row>
    <row r="113" spans="1:14" x14ac:dyDescent="0.35">
      <c r="A113" t="s">
        <v>108</v>
      </c>
      <c r="B113" t="s">
        <v>431</v>
      </c>
      <c r="C113" t="s">
        <v>581</v>
      </c>
      <c r="D113" s="2" t="s">
        <v>589</v>
      </c>
      <c r="E113" s="1" t="s">
        <v>594</v>
      </c>
      <c r="F113" s="3">
        <v>174</v>
      </c>
      <c r="G113" s="4">
        <v>35000</v>
      </c>
      <c r="H113" s="5">
        <v>103</v>
      </c>
      <c r="I113" s="6">
        <v>45730</v>
      </c>
      <c r="J113" s="2" t="s">
        <v>597</v>
      </c>
      <c r="K113" s="15">
        <f>PRODUCT(Table242[[#This Row],[Ticket Price]],Table242[[#This Row],[Passenger Count]])</f>
        <v>3605000</v>
      </c>
      <c r="L113" s="15">
        <f>Table242[[#This Row],[Revenue]]*(1-$Q$2)</f>
        <v>3244500</v>
      </c>
      <c r="M113" t="str">
        <f t="shared" si="1"/>
        <v>Late</v>
      </c>
      <c r="N113">
        <f>IF(Table242[[#This Row],[Performance Rating]]="On Time",1,0)</f>
        <v>0</v>
      </c>
    </row>
    <row r="114" spans="1:14" x14ac:dyDescent="0.35">
      <c r="A114" t="s">
        <v>109</v>
      </c>
      <c r="B114" t="s">
        <v>439</v>
      </c>
      <c r="C114" t="s">
        <v>586</v>
      </c>
      <c r="D114" s="2" t="s">
        <v>583</v>
      </c>
      <c r="E114" s="1" t="s">
        <v>593</v>
      </c>
      <c r="F114" s="3">
        <v>83</v>
      </c>
      <c r="G114" s="4">
        <v>50000</v>
      </c>
      <c r="H114" s="5">
        <v>122</v>
      </c>
      <c r="I114" s="6">
        <v>45816</v>
      </c>
      <c r="J114" s="2" t="s">
        <v>598</v>
      </c>
      <c r="K114" s="15">
        <f>PRODUCT(Table242[[#This Row],[Ticket Price]],Table242[[#This Row],[Passenger Count]])</f>
        <v>6100000</v>
      </c>
      <c r="L114" s="15">
        <f>Table242[[#This Row],[Revenue]]*(1-$Q$2)</f>
        <v>5490000</v>
      </c>
      <c r="M114" t="str">
        <f t="shared" si="1"/>
        <v>Late</v>
      </c>
      <c r="N114">
        <f>IF(Table242[[#This Row],[Performance Rating]]="On Time",1,0)</f>
        <v>0</v>
      </c>
    </row>
    <row r="115" spans="1:14" x14ac:dyDescent="0.35">
      <c r="A115" t="s">
        <v>110</v>
      </c>
      <c r="B115" t="s">
        <v>440</v>
      </c>
      <c r="C115" t="s">
        <v>587</v>
      </c>
      <c r="D115" s="2" t="s">
        <v>589</v>
      </c>
      <c r="E115" s="1" t="s">
        <v>595</v>
      </c>
      <c r="F115" s="3">
        <v>180</v>
      </c>
      <c r="G115" s="4">
        <v>115000</v>
      </c>
      <c r="H115" s="5">
        <v>67</v>
      </c>
      <c r="I115" s="6">
        <v>45822</v>
      </c>
      <c r="J115" s="2" t="s">
        <v>598</v>
      </c>
      <c r="K115" s="15">
        <f>PRODUCT(Table242[[#This Row],[Ticket Price]],Table242[[#This Row],[Passenger Count]])</f>
        <v>7705000</v>
      </c>
      <c r="L115" s="15">
        <f>Table242[[#This Row],[Revenue]]*(1-$Q$2)</f>
        <v>6934500</v>
      </c>
      <c r="M115" t="str">
        <f t="shared" si="1"/>
        <v>Late</v>
      </c>
      <c r="N115">
        <f>IF(Table242[[#This Row],[Performance Rating]]="On Time",1,0)</f>
        <v>0</v>
      </c>
    </row>
    <row r="116" spans="1:14" x14ac:dyDescent="0.35">
      <c r="A116" t="s">
        <v>111</v>
      </c>
      <c r="B116" t="s">
        <v>368</v>
      </c>
      <c r="C116" t="s">
        <v>587</v>
      </c>
      <c r="D116" s="2" t="s">
        <v>584</v>
      </c>
      <c r="E116" s="1" t="s">
        <v>595</v>
      </c>
      <c r="F116" s="3">
        <v>41</v>
      </c>
      <c r="G116" s="4">
        <v>45000</v>
      </c>
      <c r="H116" s="5">
        <v>85</v>
      </c>
      <c r="I116" s="6">
        <v>45664</v>
      </c>
      <c r="J116" s="2" t="s">
        <v>597</v>
      </c>
      <c r="K116" s="15">
        <f>PRODUCT(Table242[[#This Row],[Ticket Price]],Table242[[#This Row],[Passenger Count]])</f>
        <v>3825000</v>
      </c>
      <c r="L116" s="15">
        <f>Table242[[#This Row],[Revenue]]*(1-$Q$2)</f>
        <v>3442500</v>
      </c>
      <c r="M116" t="str">
        <f t="shared" si="1"/>
        <v>Late</v>
      </c>
      <c r="N116">
        <f>IF(Table242[[#This Row],[Performance Rating]]="On Time",1,0)</f>
        <v>0</v>
      </c>
    </row>
    <row r="117" spans="1:14" x14ac:dyDescent="0.35">
      <c r="A117" t="s">
        <v>112</v>
      </c>
      <c r="B117" t="s">
        <v>441</v>
      </c>
      <c r="C117" t="s">
        <v>581</v>
      </c>
      <c r="D117" s="2" t="s">
        <v>589</v>
      </c>
      <c r="E117" s="1" t="s">
        <v>594</v>
      </c>
      <c r="F117" s="3">
        <v>91</v>
      </c>
      <c r="G117" s="4">
        <v>95000</v>
      </c>
      <c r="H117" s="5">
        <v>161</v>
      </c>
      <c r="I117" s="6">
        <v>45758</v>
      </c>
      <c r="J117" s="2" t="s">
        <v>598</v>
      </c>
      <c r="K117" s="15">
        <f>PRODUCT(Table242[[#This Row],[Ticket Price]],Table242[[#This Row],[Passenger Count]])</f>
        <v>15295000</v>
      </c>
      <c r="L117" s="15">
        <f>Table242[[#This Row],[Revenue]]*(1-$Q$2)</f>
        <v>13765500</v>
      </c>
      <c r="M117" t="str">
        <f t="shared" si="1"/>
        <v>Late</v>
      </c>
      <c r="N117">
        <f>IF(Table242[[#This Row],[Performance Rating]]="On Time",1,0)</f>
        <v>0</v>
      </c>
    </row>
    <row r="118" spans="1:14" x14ac:dyDescent="0.35">
      <c r="A118" t="s">
        <v>113</v>
      </c>
      <c r="B118" t="s">
        <v>442</v>
      </c>
      <c r="C118" t="s">
        <v>582</v>
      </c>
      <c r="D118" s="2" t="s">
        <v>583</v>
      </c>
      <c r="E118" s="1" t="s">
        <v>595</v>
      </c>
      <c r="F118" s="3">
        <v>175</v>
      </c>
      <c r="G118" s="4">
        <v>150000</v>
      </c>
      <c r="H118" s="5">
        <v>114</v>
      </c>
      <c r="I118" s="6">
        <v>45710</v>
      </c>
      <c r="J118" s="2" t="s">
        <v>598</v>
      </c>
      <c r="K118" s="15">
        <f>PRODUCT(Table242[[#This Row],[Ticket Price]],Table242[[#This Row],[Passenger Count]])</f>
        <v>17100000</v>
      </c>
      <c r="L118" s="15">
        <f>Table242[[#This Row],[Revenue]]*(1-$Q$2)</f>
        <v>15390000</v>
      </c>
      <c r="M118" t="str">
        <f t="shared" si="1"/>
        <v>Late</v>
      </c>
      <c r="N118">
        <f>IF(Table242[[#This Row],[Performance Rating]]="On Time",1,0)</f>
        <v>0</v>
      </c>
    </row>
    <row r="119" spans="1:14" x14ac:dyDescent="0.35">
      <c r="A119" t="s">
        <v>114</v>
      </c>
      <c r="B119" t="s">
        <v>443</v>
      </c>
      <c r="C119" t="s">
        <v>583</v>
      </c>
      <c r="D119" s="2" t="s">
        <v>587</v>
      </c>
      <c r="E119" s="1" t="s">
        <v>592</v>
      </c>
      <c r="F119" s="3">
        <v>118</v>
      </c>
      <c r="G119" s="4">
        <v>70000</v>
      </c>
      <c r="H119" s="5">
        <v>167</v>
      </c>
      <c r="I119" s="6">
        <v>45806</v>
      </c>
      <c r="J119" s="2" t="s">
        <v>597</v>
      </c>
      <c r="K119" s="15">
        <f>PRODUCT(Table242[[#This Row],[Ticket Price]],Table242[[#This Row],[Passenger Count]])</f>
        <v>11690000</v>
      </c>
      <c r="L119" s="15">
        <f>Table242[[#This Row],[Revenue]]*(1-$Q$2)</f>
        <v>10521000</v>
      </c>
      <c r="M119" t="str">
        <f t="shared" si="1"/>
        <v>Late</v>
      </c>
      <c r="N119">
        <f>IF(Table242[[#This Row],[Performance Rating]]="On Time",1,0)</f>
        <v>0</v>
      </c>
    </row>
    <row r="120" spans="1:14" x14ac:dyDescent="0.35">
      <c r="A120" t="s">
        <v>115</v>
      </c>
      <c r="B120" t="s">
        <v>397</v>
      </c>
      <c r="C120" t="s">
        <v>587</v>
      </c>
      <c r="D120" s="2" t="s">
        <v>591</v>
      </c>
      <c r="E120" s="1" t="s">
        <v>596</v>
      </c>
      <c r="F120" s="3">
        <v>127</v>
      </c>
      <c r="G120" s="4">
        <v>40000</v>
      </c>
      <c r="H120" s="5">
        <v>109</v>
      </c>
      <c r="I120" s="6">
        <v>45674</v>
      </c>
      <c r="J120" s="2" t="s">
        <v>597</v>
      </c>
      <c r="K120" s="15">
        <f>PRODUCT(Table242[[#This Row],[Ticket Price]],Table242[[#This Row],[Passenger Count]])</f>
        <v>4360000</v>
      </c>
      <c r="L120" s="15">
        <f>Table242[[#This Row],[Revenue]]*(1-$Q$2)</f>
        <v>3924000</v>
      </c>
      <c r="M120" t="str">
        <f t="shared" si="1"/>
        <v>Late</v>
      </c>
      <c r="N120">
        <f>IF(Table242[[#This Row],[Performance Rating]]="On Time",1,0)</f>
        <v>0</v>
      </c>
    </row>
    <row r="121" spans="1:14" x14ac:dyDescent="0.35">
      <c r="A121" t="s">
        <v>116</v>
      </c>
      <c r="B121" t="s">
        <v>444</v>
      </c>
      <c r="C121" t="s">
        <v>586</v>
      </c>
      <c r="D121" s="2" t="s">
        <v>585</v>
      </c>
      <c r="E121" s="1" t="s">
        <v>594</v>
      </c>
      <c r="F121" s="3">
        <v>42</v>
      </c>
      <c r="G121" s="4">
        <v>35000</v>
      </c>
      <c r="H121" s="5">
        <v>71</v>
      </c>
      <c r="I121" s="6">
        <v>45671</v>
      </c>
      <c r="J121" s="2" t="s">
        <v>598</v>
      </c>
      <c r="K121" s="15">
        <f>PRODUCT(Table242[[#This Row],[Ticket Price]],Table242[[#This Row],[Passenger Count]])</f>
        <v>2485000</v>
      </c>
      <c r="L121" s="15">
        <f>Table242[[#This Row],[Revenue]]*(1-$Q$2)</f>
        <v>2236500</v>
      </c>
      <c r="M121" t="str">
        <f t="shared" si="1"/>
        <v>Late</v>
      </c>
      <c r="N121">
        <f>IF(Table242[[#This Row],[Performance Rating]]="On Time",1,0)</f>
        <v>0</v>
      </c>
    </row>
    <row r="122" spans="1:14" x14ac:dyDescent="0.35">
      <c r="A122" t="s">
        <v>117</v>
      </c>
      <c r="B122" t="s">
        <v>445</v>
      </c>
      <c r="C122" t="s">
        <v>584</v>
      </c>
      <c r="D122" s="2" t="s">
        <v>590</v>
      </c>
      <c r="E122" s="1" t="s">
        <v>592</v>
      </c>
      <c r="F122" s="3">
        <v>112</v>
      </c>
      <c r="G122" s="4">
        <v>40000</v>
      </c>
      <c r="H122" s="5">
        <v>166</v>
      </c>
      <c r="I122" s="6">
        <v>45667</v>
      </c>
      <c r="J122" s="2" t="s">
        <v>597</v>
      </c>
      <c r="K122" s="15">
        <f>PRODUCT(Table242[[#This Row],[Ticket Price]],Table242[[#This Row],[Passenger Count]])</f>
        <v>6640000</v>
      </c>
      <c r="L122" s="15">
        <f>Table242[[#This Row],[Revenue]]*(1-$Q$2)</f>
        <v>5976000</v>
      </c>
      <c r="M122" t="str">
        <f t="shared" si="1"/>
        <v>Late</v>
      </c>
      <c r="N122">
        <f>IF(Table242[[#This Row],[Performance Rating]]="On Time",1,0)</f>
        <v>0</v>
      </c>
    </row>
    <row r="123" spans="1:14" x14ac:dyDescent="0.35">
      <c r="A123" t="s">
        <v>118</v>
      </c>
      <c r="B123" t="s">
        <v>388</v>
      </c>
      <c r="C123" t="s">
        <v>582</v>
      </c>
      <c r="D123" s="2" t="s">
        <v>584</v>
      </c>
      <c r="E123" s="1" t="s">
        <v>596</v>
      </c>
      <c r="F123" s="3">
        <v>26</v>
      </c>
      <c r="G123" s="4">
        <v>95000</v>
      </c>
      <c r="H123" s="5">
        <v>168</v>
      </c>
      <c r="I123" s="6">
        <v>45666</v>
      </c>
      <c r="J123" s="2" t="s">
        <v>597</v>
      </c>
      <c r="K123" s="15">
        <f>PRODUCT(Table242[[#This Row],[Ticket Price]],Table242[[#This Row],[Passenger Count]])</f>
        <v>15960000</v>
      </c>
      <c r="L123" s="15">
        <f>Table242[[#This Row],[Revenue]]*(1-$Q$2)</f>
        <v>14364000</v>
      </c>
      <c r="M123" t="str">
        <f t="shared" si="1"/>
        <v>Slight Delay</v>
      </c>
      <c r="N123">
        <f>IF(Table242[[#This Row],[Performance Rating]]="On Time",1,0)</f>
        <v>0</v>
      </c>
    </row>
    <row r="124" spans="1:14" x14ac:dyDescent="0.35">
      <c r="A124" t="s">
        <v>119</v>
      </c>
      <c r="B124" t="s">
        <v>446</v>
      </c>
      <c r="C124" t="s">
        <v>581</v>
      </c>
      <c r="D124" s="2" t="s">
        <v>591</v>
      </c>
      <c r="E124" s="1" t="s">
        <v>592</v>
      </c>
      <c r="F124" s="3">
        <v>97</v>
      </c>
      <c r="G124" s="4">
        <v>60000</v>
      </c>
      <c r="H124" s="5">
        <v>161</v>
      </c>
      <c r="I124" s="6">
        <v>45794</v>
      </c>
      <c r="J124" s="2" t="s">
        <v>598</v>
      </c>
      <c r="K124" s="15">
        <f>PRODUCT(Table242[[#This Row],[Ticket Price]],Table242[[#This Row],[Passenger Count]])</f>
        <v>9660000</v>
      </c>
      <c r="L124" s="15">
        <f>Table242[[#This Row],[Revenue]]*(1-$Q$2)</f>
        <v>8694000</v>
      </c>
      <c r="M124" t="str">
        <f t="shared" si="1"/>
        <v>Late</v>
      </c>
      <c r="N124">
        <f>IF(Table242[[#This Row],[Performance Rating]]="On Time",1,0)</f>
        <v>0</v>
      </c>
    </row>
    <row r="125" spans="1:14" x14ac:dyDescent="0.35">
      <c r="A125" t="s">
        <v>120</v>
      </c>
      <c r="B125" t="s">
        <v>412</v>
      </c>
      <c r="C125" t="s">
        <v>584</v>
      </c>
      <c r="D125" s="2" t="s">
        <v>590</v>
      </c>
      <c r="E125" s="1" t="s">
        <v>593</v>
      </c>
      <c r="F125" s="3">
        <v>-2</v>
      </c>
      <c r="G125" s="4">
        <v>85000</v>
      </c>
      <c r="H125" s="5">
        <v>76</v>
      </c>
      <c r="I125" s="6">
        <v>45838</v>
      </c>
      <c r="J125" s="2" t="s">
        <v>598</v>
      </c>
      <c r="K125" s="15">
        <f>PRODUCT(Table242[[#This Row],[Ticket Price]],Table242[[#This Row],[Passenger Count]])</f>
        <v>6460000</v>
      </c>
      <c r="L125" s="15">
        <f>Table242[[#This Row],[Revenue]]*(1-$Q$2)</f>
        <v>5814000</v>
      </c>
      <c r="M125" t="str">
        <f t="shared" si="1"/>
        <v>On Time</v>
      </c>
      <c r="N125">
        <f>IF(Table242[[#This Row],[Performance Rating]]="On Time",1,0)</f>
        <v>1</v>
      </c>
    </row>
    <row r="126" spans="1:14" x14ac:dyDescent="0.35">
      <c r="A126" t="s">
        <v>121</v>
      </c>
      <c r="B126" t="s">
        <v>406</v>
      </c>
      <c r="C126" t="s">
        <v>586</v>
      </c>
      <c r="D126" s="2" t="s">
        <v>585</v>
      </c>
      <c r="E126" s="1" t="s">
        <v>593</v>
      </c>
      <c r="F126" s="3">
        <v>150</v>
      </c>
      <c r="G126" s="4">
        <v>110000</v>
      </c>
      <c r="H126" s="5">
        <v>86</v>
      </c>
      <c r="I126" s="6">
        <v>45833</v>
      </c>
      <c r="J126" s="2" t="s">
        <v>597</v>
      </c>
      <c r="K126" s="15">
        <f>PRODUCT(Table242[[#This Row],[Ticket Price]],Table242[[#This Row],[Passenger Count]])</f>
        <v>9460000</v>
      </c>
      <c r="L126" s="15">
        <f>Table242[[#This Row],[Revenue]]*(1-$Q$2)</f>
        <v>8514000</v>
      </c>
      <c r="M126" t="str">
        <f t="shared" si="1"/>
        <v>Late</v>
      </c>
      <c r="N126">
        <f>IF(Table242[[#This Row],[Performance Rating]]="On Time",1,0)</f>
        <v>0</v>
      </c>
    </row>
    <row r="127" spans="1:14" x14ac:dyDescent="0.35">
      <c r="A127" t="s">
        <v>122</v>
      </c>
      <c r="B127" t="s">
        <v>447</v>
      </c>
      <c r="C127" t="s">
        <v>585</v>
      </c>
      <c r="D127" s="2" t="s">
        <v>583</v>
      </c>
      <c r="E127" s="1" t="s">
        <v>592</v>
      </c>
      <c r="F127" s="3">
        <v>67</v>
      </c>
      <c r="G127" s="4">
        <v>25000</v>
      </c>
      <c r="H127" s="5">
        <v>137</v>
      </c>
      <c r="I127" s="6">
        <v>45703</v>
      </c>
      <c r="J127" s="2" t="s">
        <v>597</v>
      </c>
      <c r="K127" s="15">
        <f>PRODUCT(Table242[[#This Row],[Ticket Price]],Table242[[#This Row],[Passenger Count]])</f>
        <v>3425000</v>
      </c>
      <c r="L127" s="15">
        <f>Table242[[#This Row],[Revenue]]*(1-$Q$2)</f>
        <v>3082500</v>
      </c>
      <c r="M127" t="str">
        <f t="shared" si="1"/>
        <v>Late</v>
      </c>
      <c r="N127">
        <f>IF(Table242[[#This Row],[Performance Rating]]="On Time",1,0)</f>
        <v>0</v>
      </c>
    </row>
    <row r="128" spans="1:14" x14ac:dyDescent="0.35">
      <c r="A128" t="s">
        <v>123</v>
      </c>
      <c r="B128" t="s">
        <v>448</v>
      </c>
      <c r="C128" t="s">
        <v>586</v>
      </c>
      <c r="D128" s="2" t="s">
        <v>583</v>
      </c>
      <c r="E128" s="1" t="s">
        <v>593</v>
      </c>
      <c r="F128" s="3">
        <v>29</v>
      </c>
      <c r="G128" s="4">
        <v>70000</v>
      </c>
      <c r="H128" s="5">
        <v>148</v>
      </c>
      <c r="I128" s="6">
        <v>45767</v>
      </c>
      <c r="J128" s="2" t="s">
        <v>597</v>
      </c>
      <c r="K128" s="15">
        <f>PRODUCT(Table242[[#This Row],[Ticket Price]],Table242[[#This Row],[Passenger Count]])</f>
        <v>10360000</v>
      </c>
      <c r="L128" s="15">
        <f>Table242[[#This Row],[Revenue]]*(1-$Q$2)</f>
        <v>9324000</v>
      </c>
      <c r="M128" t="str">
        <f t="shared" si="1"/>
        <v>Slight Delay</v>
      </c>
      <c r="N128">
        <f>IF(Table242[[#This Row],[Performance Rating]]="On Time",1,0)</f>
        <v>0</v>
      </c>
    </row>
    <row r="129" spans="1:14" x14ac:dyDescent="0.35">
      <c r="A129" t="s">
        <v>124</v>
      </c>
      <c r="B129" t="s">
        <v>449</v>
      </c>
      <c r="C129" t="s">
        <v>583</v>
      </c>
      <c r="D129" s="2" t="s">
        <v>584</v>
      </c>
      <c r="E129" s="1" t="s">
        <v>596</v>
      </c>
      <c r="F129" s="3">
        <v>125</v>
      </c>
      <c r="G129" s="4">
        <v>65000</v>
      </c>
      <c r="H129" s="5">
        <v>81</v>
      </c>
      <c r="I129" s="6">
        <v>45735</v>
      </c>
      <c r="J129" s="2" t="s">
        <v>597</v>
      </c>
      <c r="K129" s="15">
        <f>PRODUCT(Table242[[#This Row],[Ticket Price]],Table242[[#This Row],[Passenger Count]])</f>
        <v>5265000</v>
      </c>
      <c r="L129" s="15">
        <f>Table242[[#This Row],[Revenue]]*(1-$Q$2)</f>
        <v>4738500</v>
      </c>
      <c r="M129" t="str">
        <f t="shared" si="1"/>
        <v>Late</v>
      </c>
      <c r="N129">
        <f>IF(Table242[[#This Row],[Performance Rating]]="On Time",1,0)</f>
        <v>0</v>
      </c>
    </row>
    <row r="130" spans="1:14" x14ac:dyDescent="0.35">
      <c r="A130" t="s">
        <v>125</v>
      </c>
      <c r="B130" t="s">
        <v>381</v>
      </c>
      <c r="C130" t="s">
        <v>585</v>
      </c>
      <c r="D130" s="2" t="s">
        <v>587</v>
      </c>
      <c r="E130" s="1" t="s">
        <v>595</v>
      </c>
      <c r="F130" s="3">
        <v>17</v>
      </c>
      <c r="G130" s="4">
        <v>60000</v>
      </c>
      <c r="H130" s="5">
        <v>96</v>
      </c>
      <c r="I130" s="6">
        <v>45666</v>
      </c>
      <c r="J130" s="2" t="s">
        <v>597</v>
      </c>
      <c r="K130" s="15">
        <f>PRODUCT(Table242[[#This Row],[Ticket Price]],Table242[[#This Row],[Passenger Count]])</f>
        <v>5760000</v>
      </c>
      <c r="L130" s="15">
        <f>Table242[[#This Row],[Revenue]]*(1-$Q$2)</f>
        <v>5184000</v>
      </c>
      <c r="M130" t="str">
        <f t="shared" si="1"/>
        <v>Slight Delay</v>
      </c>
      <c r="N130">
        <f>IF(Table242[[#This Row],[Performance Rating]]="On Time",1,0)</f>
        <v>0</v>
      </c>
    </row>
    <row r="131" spans="1:14" x14ac:dyDescent="0.35">
      <c r="A131" t="s">
        <v>126</v>
      </c>
      <c r="B131" t="s">
        <v>372</v>
      </c>
      <c r="C131" t="s">
        <v>587</v>
      </c>
      <c r="D131" s="2" t="s">
        <v>591</v>
      </c>
      <c r="E131" s="1" t="s">
        <v>595</v>
      </c>
      <c r="F131" s="3">
        <v>74</v>
      </c>
      <c r="G131" s="4">
        <v>25000</v>
      </c>
      <c r="H131" s="5">
        <v>134</v>
      </c>
      <c r="I131" s="6">
        <v>45700</v>
      </c>
      <c r="J131" s="2" t="s">
        <v>597</v>
      </c>
      <c r="K131" s="15">
        <f>PRODUCT(Table242[[#This Row],[Ticket Price]],Table242[[#This Row],[Passenger Count]])</f>
        <v>3350000</v>
      </c>
      <c r="L131" s="15">
        <f>Table242[[#This Row],[Revenue]]*(1-$Q$2)</f>
        <v>3015000</v>
      </c>
      <c r="M131" t="str">
        <f t="shared" ref="M131:M194" si="2">IF(F131&lt;=10,"On Time",IF(F131&lt;=30,"Slight Delay","Late"))</f>
        <v>Late</v>
      </c>
      <c r="N131">
        <f>IF(Table242[[#This Row],[Performance Rating]]="On Time",1,0)</f>
        <v>0</v>
      </c>
    </row>
    <row r="132" spans="1:14" x14ac:dyDescent="0.35">
      <c r="A132" t="s">
        <v>127</v>
      </c>
      <c r="B132" t="s">
        <v>347</v>
      </c>
      <c r="C132" t="s">
        <v>582</v>
      </c>
      <c r="D132" s="2" t="s">
        <v>589</v>
      </c>
      <c r="E132" s="1" t="s">
        <v>595</v>
      </c>
      <c r="F132" s="3">
        <v>151</v>
      </c>
      <c r="G132" s="4">
        <v>50000</v>
      </c>
      <c r="H132" s="5">
        <v>146</v>
      </c>
      <c r="I132" s="6">
        <v>45698</v>
      </c>
      <c r="J132" s="2" t="s">
        <v>597</v>
      </c>
      <c r="K132" s="15">
        <f>PRODUCT(Table242[[#This Row],[Ticket Price]],Table242[[#This Row],[Passenger Count]])</f>
        <v>7300000</v>
      </c>
      <c r="L132" s="15">
        <f>Table242[[#This Row],[Revenue]]*(1-$Q$2)</f>
        <v>6570000</v>
      </c>
      <c r="M132" t="str">
        <f t="shared" si="2"/>
        <v>Late</v>
      </c>
      <c r="N132">
        <f>IF(Table242[[#This Row],[Performance Rating]]="On Time",1,0)</f>
        <v>0</v>
      </c>
    </row>
    <row r="133" spans="1:14" x14ac:dyDescent="0.35">
      <c r="A133" t="s">
        <v>128</v>
      </c>
      <c r="B133" t="s">
        <v>450</v>
      </c>
      <c r="C133" t="s">
        <v>588</v>
      </c>
      <c r="D133" s="2" t="s">
        <v>583</v>
      </c>
      <c r="E133" s="1" t="s">
        <v>592</v>
      </c>
      <c r="F133" s="3">
        <v>81</v>
      </c>
      <c r="G133" s="4">
        <v>120000</v>
      </c>
      <c r="H133" s="5">
        <v>142</v>
      </c>
      <c r="I133" s="6">
        <v>45700</v>
      </c>
      <c r="J133" s="2" t="s">
        <v>598</v>
      </c>
      <c r="K133" s="15">
        <f>PRODUCT(Table242[[#This Row],[Ticket Price]],Table242[[#This Row],[Passenger Count]])</f>
        <v>17040000</v>
      </c>
      <c r="L133" s="15">
        <f>Table242[[#This Row],[Revenue]]*(1-$Q$2)</f>
        <v>15336000</v>
      </c>
      <c r="M133" t="str">
        <f t="shared" si="2"/>
        <v>Late</v>
      </c>
      <c r="N133">
        <f>IF(Table242[[#This Row],[Performance Rating]]="On Time",1,0)</f>
        <v>0</v>
      </c>
    </row>
    <row r="134" spans="1:14" x14ac:dyDescent="0.35">
      <c r="A134" t="s">
        <v>129</v>
      </c>
      <c r="B134" t="s">
        <v>451</v>
      </c>
      <c r="C134" t="s">
        <v>583</v>
      </c>
      <c r="D134" s="2" t="s">
        <v>591</v>
      </c>
      <c r="E134" s="1" t="s">
        <v>593</v>
      </c>
      <c r="F134" s="3">
        <v>141</v>
      </c>
      <c r="G134" s="4">
        <v>80000</v>
      </c>
      <c r="H134" s="5">
        <v>79</v>
      </c>
      <c r="I134" s="6">
        <v>45666</v>
      </c>
      <c r="J134" s="2" t="s">
        <v>598</v>
      </c>
      <c r="K134" s="15">
        <f>PRODUCT(Table242[[#This Row],[Ticket Price]],Table242[[#This Row],[Passenger Count]])</f>
        <v>6320000</v>
      </c>
      <c r="L134" s="15">
        <f>Table242[[#This Row],[Revenue]]*(1-$Q$2)</f>
        <v>5688000</v>
      </c>
      <c r="M134" t="str">
        <f t="shared" si="2"/>
        <v>Late</v>
      </c>
      <c r="N134">
        <f>IF(Table242[[#This Row],[Performance Rating]]="On Time",1,0)</f>
        <v>0</v>
      </c>
    </row>
    <row r="135" spans="1:14" x14ac:dyDescent="0.35">
      <c r="A135" t="s">
        <v>130</v>
      </c>
      <c r="B135" t="s">
        <v>452</v>
      </c>
      <c r="C135" t="s">
        <v>586</v>
      </c>
      <c r="D135" s="2" t="s">
        <v>583</v>
      </c>
      <c r="E135" s="1" t="s">
        <v>592</v>
      </c>
      <c r="F135" s="3">
        <v>18</v>
      </c>
      <c r="G135" s="4">
        <v>120000</v>
      </c>
      <c r="H135" s="5">
        <v>134</v>
      </c>
      <c r="I135" s="6">
        <v>45812</v>
      </c>
      <c r="J135" s="2" t="s">
        <v>598</v>
      </c>
      <c r="K135" s="15">
        <f>PRODUCT(Table242[[#This Row],[Ticket Price]],Table242[[#This Row],[Passenger Count]])</f>
        <v>16080000</v>
      </c>
      <c r="L135" s="15">
        <f>Table242[[#This Row],[Revenue]]*(1-$Q$2)</f>
        <v>14472000</v>
      </c>
      <c r="M135" t="str">
        <f t="shared" si="2"/>
        <v>Slight Delay</v>
      </c>
      <c r="N135">
        <f>IF(Table242[[#This Row],[Performance Rating]]="On Time",1,0)</f>
        <v>0</v>
      </c>
    </row>
    <row r="136" spans="1:14" x14ac:dyDescent="0.35">
      <c r="A136" t="s">
        <v>131</v>
      </c>
      <c r="B136" t="s">
        <v>436</v>
      </c>
      <c r="C136" t="s">
        <v>588</v>
      </c>
      <c r="D136" s="2" t="s">
        <v>590</v>
      </c>
      <c r="E136" s="1" t="s">
        <v>593</v>
      </c>
      <c r="F136" s="3">
        <v>150</v>
      </c>
      <c r="G136" s="4">
        <v>60000</v>
      </c>
      <c r="H136" s="5">
        <v>66</v>
      </c>
      <c r="I136" s="6">
        <v>45668</v>
      </c>
      <c r="J136" s="2" t="s">
        <v>597</v>
      </c>
      <c r="K136" s="15">
        <f>PRODUCT(Table242[[#This Row],[Ticket Price]],Table242[[#This Row],[Passenger Count]])</f>
        <v>3960000</v>
      </c>
      <c r="L136" s="15">
        <f>Table242[[#This Row],[Revenue]]*(1-$Q$2)</f>
        <v>3564000</v>
      </c>
      <c r="M136" t="str">
        <f t="shared" si="2"/>
        <v>Late</v>
      </c>
      <c r="N136">
        <f>IF(Table242[[#This Row],[Performance Rating]]="On Time",1,0)</f>
        <v>0</v>
      </c>
    </row>
    <row r="137" spans="1:14" x14ac:dyDescent="0.35">
      <c r="A137" t="s">
        <v>132</v>
      </c>
      <c r="B137" t="s">
        <v>453</v>
      </c>
      <c r="C137" t="s">
        <v>583</v>
      </c>
      <c r="D137" s="2" t="s">
        <v>587</v>
      </c>
      <c r="E137" s="1" t="s">
        <v>595</v>
      </c>
      <c r="F137" s="3">
        <v>-4</v>
      </c>
      <c r="G137" s="4">
        <v>120000</v>
      </c>
      <c r="H137" s="5">
        <v>152</v>
      </c>
      <c r="I137" s="6">
        <v>45753</v>
      </c>
      <c r="J137" s="2" t="s">
        <v>598</v>
      </c>
      <c r="K137" s="15">
        <f>PRODUCT(Table242[[#This Row],[Ticket Price]],Table242[[#This Row],[Passenger Count]])</f>
        <v>18240000</v>
      </c>
      <c r="L137" s="15">
        <f>Table242[[#This Row],[Revenue]]*(1-$Q$2)</f>
        <v>16416000</v>
      </c>
      <c r="M137" t="str">
        <f t="shared" si="2"/>
        <v>On Time</v>
      </c>
      <c r="N137">
        <f>IF(Table242[[#This Row],[Performance Rating]]="On Time",1,0)</f>
        <v>1</v>
      </c>
    </row>
    <row r="138" spans="1:14" x14ac:dyDescent="0.35">
      <c r="A138" t="s">
        <v>133</v>
      </c>
      <c r="B138" t="s">
        <v>454</v>
      </c>
      <c r="C138" t="s">
        <v>581</v>
      </c>
      <c r="D138" s="2" t="s">
        <v>589</v>
      </c>
      <c r="E138" s="1" t="s">
        <v>595</v>
      </c>
      <c r="F138" s="3">
        <v>98</v>
      </c>
      <c r="G138" s="4">
        <v>145000</v>
      </c>
      <c r="H138" s="5">
        <v>60</v>
      </c>
      <c r="I138" s="6">
        <v>45721</v>
      </c>
      <c r="J138" s="2" t="s">
        <v>597</v>
      </c>
      <c r="K138" s="15">
        <f>PRODUCT(Table242[[#This Row],[Ticket Price]],Table242[[#This Row],[Passenger Count]])</f>
        <v>8700000</v>
      </c>
      <c r="L138" s="15">
        <f>Table242[[#This Row],[Revenue]]*(1-$Q$2)</f>
        <v>7830000</v>
      </c>
      <c r="M138" t="str">
        <f t="shared" si="2"/>
        <v>Late</v>
      </c>
      <c r="N138">
        <f>IF(Table242[[#This Row],[Performance Rating]]="On Time",1,0)</f>
        <v>0</v>
      </c>
    </row>
    <row r="139" spans="1:14" x14ac:dyDescent="0.35">
      <c r="A139" t="s">
        <v>134</v>
      </c>
      <c r="B139" t="s">
        <v>455</v>
      </c>
      <c r="C139" t="s">
        <v>586</v>
      </c>
      <c r="D139" s="2" t="s">
        <v>582</v>
      </c>
      <c r="E139" s="1" t="s">
        <v>595</v>
      </c>
      <c r="F139" s="3">
        <v>7</v>
      </c>
      <c r="G139" s="4">
        <v>70000</v>
      </c>
      <c r="H139" s="5">
        <v>100</v>
      </c>
      <c r="I139" s="6">
        <v>45815</v>
      </c>
      <c r="J139" s="2" t="s">
        <v>598</v>
      </c>
      <c r="K139" s="15">
        <f>PRODUCT(Table242[[#This Row],[Ticket Price]],Table242[[#This Row],[Passenger Count]])</f>
        <v>7000000</v>
      </c>
      <c r="L139" s="15">
        <f>Table242[[#This Row],[Revenue]]*(1-$Q$2)</f>
        <v>6300000</v>
      </c>
      <c r="M139" t="str">
        <f t="shared" si="2"/>
        <v>On Time</v>
      </c>
      <c r="N139">
        <f>IF(Table242[[#This Row],[Performance Rating]]="On Time",1,0)</f>
        <v>1</v>
      </c>
    </row>
    <row r="140" spans="1:14" x14ac:dyDescent="0.35">
      <c r="A140" t="s">
        <v>135</v>
      </c>
      <c r="B140" t="s">
        <v>456</v>
      </c>
      <c r="C140" t="s">
        <v>586</v>
      </c>
      <c r="D140" s="2" t="s">
        <v>590</v>
      </c>
      <c r="E140" s="1" t="s">
        <v>596</v>
      </c>
      <c r="F140" s="3">
        <v>164</v>
      </c>
      <c r="G140" s="4">
        <v>75000</v>
      </c>
      <c r="H140" s="5">
        <v>130</v>
      </c>
      <c r="I140" s="6">
        <v>45705</v>
      </c>
      <c r="J140" s="2" t="s">
        <v>597</v>
      </c>
      <c r="K140" s="15">
        <f>PRODUCT(Table242[[#This Row],[Ticket Price]],Table242[[#This Row],[Passenger Count]])</f>
        <v>9750000</v>
      </c>
      <c r="L140" s="15">
        <f>Table242[[#This Row],[Revenue]]*(1-$Q$2)</f>
        <v>8775000</v>
      </c>
      <c r="M140" t="str">
        <f t="shared" si="2"/>
        <v>Late</v>
      </c>
      <c r="N140">
        <f>IF(Table242[[#This Row],[Performance Rating]]="On Time",1,0)</f>
        <v>0</v>
      </c>
    </row>
    <row r="141" spans="1:14" x14ac:dyDescent="0.35">
      <c r="A141" t="s">
        <v>136</v>
      </c>
      <c r="B141" t="s">
        <v>425</v>
      </c>
      <c r="C141" t="s">
        <v>583</v>
      </c>
      <c r="D141" s="2" t="s">
        <v>589</v>
      </c>
      <c r="E141" s="1" t="s">
        <v>595</v>
      </c>
      <c r="F141" s="3">
        <v>76</v>
      </c>
      <c r="G141" s="4">
        <v>35000</v>
      </c>
      <c r="H141" s="5">
        <v>108</v>
      </c>
      <c r="I141" s="6">
        <v>45760</v>
      </c>
      <c r="J141" s="2" t="s">
        <v>598</v>
      </c>
      <c r="K141" s="15">
        <f>PRODUCT(Table242[[#This Row],[Ticket Price]],Table242[[#This Row],[Passenger Count]])</f>
        <v>3780000</v>
      </c>
      <c r="L141" s="15">
        <f>Table242[[#This Row],[Revenue]]*(1-$Q$2)</f>
        <v>3402000</v>
      </c>
      <c r="M141" t="str">
        <f t="shared" si="2"/>
        <v>Late</v>
      </c>
      <c r="N141">
        <f>IF(Table242[[#This Row],[Performance Rating]]="On Time",1,0)</f>
        <v>0</v>
      </c>
    </row>
    <row r="142" spans="1:14" x14ac:dyDescent="0.35">
      <c r="A142" t="s">
        <v>137</v>
      </c>
      <c r="B142" t="s">
        <v>457</v>
      </c>
      <c r="C142" t="s">
        <v>582</v>
      </c>
      <c r="D142" s="2" t="s">
        <v>587</v>
      </c>
      <c r="E142" s="1" t="s">
        <v>592</v>
      </c>
      <c r="F142" s="3">
        <v>32</v>
      </c>
      <c r="G142" s="4">
        <v>75000</v>
      </c>
      <c r="H142" s="5">
        <v>70</v>
      </c>
      <c r="I142" s="6">
        <v>45835</v>
      </c>
      <c r="J142" s="2" t="s">
        <v>597</v>
      </c>
      <c r="K142" s="15">
        <f>PRODUCT(Table242[[#This Row],[Ticket Price]],Table242[[#This Row],[Passenger Count]])</f>
        <v>5250000</v>
      </c>
      <c r="L142" s="15">
        <f>Table242[[#This Row],[Revenue]]*(1-$Q$2)</f>
        <v>4725000</v>
      </c>
      <c r="M142" t="str">
        <f t="shared" si="2"/>
        <v>Late</v>
      </c>
      <c r="N142">
        <f>IF(Table242[[#This Row],[Performance Rating]]="On Time",1,0)</f>
        <v>0</v>
      </c>
    </row>
    <row r="143" spans="1:14" x14ac:dyDescent="0.35">
      <c r="A143" t="s">
        <v>138</v>
      </c>
      <c r="B143" t="s">
        <v>458</v>
      </c>
      <c r="C143" t="s">
        <v>582</v>
      </c>
      <c r="D143" s="2" t="s">
        <v>584</v>
      </c>
      <c r="E143" s="1" t="s">
        <v>593</v>
      </c>
      <c r="F143" s="3">
        <v>-1</v>
      </c>
      <c r="G143" s="4">
        <v>150000</v>
      </c>
      <c r="H143" s="5">
        <v>162</v>
      </c>
      <c r="I143" s="6">
        <v>45666</v>
      </c>
      <c r="J143" s="2" t="s">
        <v>598</v>
      </c>
      <c r="K143" s="15">
        <f>PRODUCT(Table242[[#This Row],[Ticket Price]],Table242[[#This Row],[Passenger Count]])</f>
        <v>24300000</v>
      </c>
      <c r="L143" s="15">
        <f>Table242[[#This Row],[Revenue]]*(1-$Q$2)</f>
        <v>21870000</v>
      </c>
      <c r="M143" t="str">
        <f t="shared" si="2"/>
        <v>On Time</v>
      </c>
      <c r="N143">
        <f>IF(Table242[[#This Row],[Performance Rating]]="On Time",1,0)</f>
        <v>1</v>
      </c>
    </row>
    <row r="144" spans="1:14" x14ac:dyDescent="0.35">
      <c r="A144" t="s">
        <v>139</v>
      </c>
      <c r="B144" t="s">
        <v>451</v>
      </c>
      <c r="C144" t="s">
        <v>587</v>
      </c>
      <c r="D144" s="2" t="s">
        <v>591</v>
      </c>
      <c r="E144" s="1" t="s">
        <v>593</v>
      </c>
      <c r="F144" s="3">
        <v>49</v>
      </c>
      <c r="G144" s="4">
        <v>140000</v>
      </c>
      <c r="H144" s="5">
        <v>121</v>
      </c>
      <c r="I144" s="6">
        <v>45669</v>
      </c>
      <c r="J144" s="2" t="s">
        <v>597</v>
      </c>
      <c r="K144" s="15">
        <f>PRODUCT(Table242[[#This Row],[Ticket Price]],Table242[[#This Row],[Passenger Count]])</f>
        <v>16940000</v>
      </c>
      <c r="L144" s="15">
        <f>Table242[[#This Row],[Revenue]]*(1-$Q$2)</f>
        <v>15246000</v>
      </c>
      <c r="M144" t="str">
        <f t="shared" si="2"/>
        <v>Late</v>
      </c>
      <c r="N144">
        <f>IF(Table242[[#This Row],[Performance Rating]]="On Time",1,0)</f>
        <v>0</v>
      </c>
    </row>
    <row r="145" spans="1:14" x14ac:dyDescent="0.35">
      <c r="A145" t="s">
        <v>140</v>
      </c>
      <c r="B145" t="s">
        <v>413</v>
      </c>
      <c r="C145" t="s">
        <v>582</v>
      </c>
      <c r="D145" s="2" t="s">
        <v>589</v>
      </c>
      <c r="E145" s="1" t="s">
        <v>593</v>
      </c>
      <c r="F145" s="3">
        <v>166</v>
      </c>
      <c r="G145" s="4">
        <v>50000</v>
      </c>
      <c r="H145" s="5">
        <v>121</v>
      </c>
      <c r="I145" s="6">
        <v>45678</v>
      </c>
      <c r="J145" s="2" t="s">
        <v>597</v>
      </c>
      <c r="K145" s="15">
        <f>PRODUCT(Table242[[#This Row],[Ticket Price]],Table242[[#This Row],[Passenger Count]])</f>
        <v>6050000</v>
      </c>
      <c r="L145" s="15">
        <f>Table242[[#This Row],[Revenue]]*(1-$Q$2)</f>
        <v>5445000</v>
      </c>
      <c r="M145" t="str">
        <f t="shared" si="2"/>
        <v>Late</v>
      </c>
      <c r="N145">
        <f>IF(Table242[[#This Row],[Performance Rating]]="On Time",1,0)</f>
        <v>0</v>
      </c>
    </row>
    <row r="146" spans="1:14" x14ac:dyDescent="0.35">
      <c r="A146" t="s">
        <v>141</v>
      </c>
      <c r="B146" t="s">
        <v>405</v>
      </c>
      <c r="C146" t="s">
        <v>587</v>
      </c>
      <c r="D146" s="2" t="s">
        <v>585</v>
      </c>
      <c r="E146" s="1" t="s">
        <v>594</v>
      </c>
      <c r="F146" s="3">
        <v>22</v>
      </c>
      <c r="G146" s="4">
        <v>145000</v>
      </c>
      <c r="H146" s="5">
        <v>127</v>
      </c>
      <c r="I146" s="6">
        <v>45736</v>
      </c>
      <c r="J146" s="2" t="s">
        <v>598</v>
      </c>
      <c r="K146" s="15">
        <f>PRODUCT(Table242[[#This Row],[Ticket Price]],Table242[[#This Row],[Passenger Count]])</f>
        <v>18415000</v>
      </c>
      <c r="L146" s="15">
        <f>Table242[[#This Row],[Revenue]]*(1-$Q$2)</f>
        <v>16573500</v>
      </c>
      <c r="M146" t="str">
        <f t="shared" si="2"/>
        <v>Slight Delay</v>
      </c>
      <c r="N146">
        <f>IF(Table242[[#This Row],[Performance Rating]]="On Time",1,0)</f>
        <v>0</v>
      </c>
    </row>
    <row r="147" spans="1:14" x14ac:dyDescent="0.35">
      <c r="A147" t="s">
        <v>142</v>
      </c>
      <c r="B147" t="s">
        <v>459</v>
      </c>
      <c r="C147" t="s">
        <v>586</v>
      </c>
      <c r="D147" s="2" t="s">
        <v>590</v>
      </c>
      <c r="E147" s="1" t="s">
        <v>593</v>
      </c>
      <c r="F147" s="3">
        <v>130</v>
      </c>
      <c r="G147" s="4">
        <v>55000</v>
      </c>
      <c r="H147" s="5">
        <v>104</v>
      </c>
      <c r="I147" s="6">
        <v>45759</v>
      </c>
      <c r="J147" s="2" t="s">
        <v>598</v>
      </c>
      <c r="K147" s="15">
        <f>PRODUCT(Table242[[#This Row],[Ticket Price]],Table242[[#This Row],[Passenger Count]])</f>
        <v>5720000</v>
      </c>
      <c r="L147" s="15">
        <f>Table242[[#This Row],[Revenue]]*(1-$Q$2)</f>
        <v>5148000</v>
      </c>
      <c r="M147" t="str">
        <f t="shared" si="2"/>
        <v>Late</v>
      </c>
      <c r="N147">
        <f>IF(Table242[[#This Row],[Performance Rating]]="On Time",1,0)</f>
        <v>0</v>
      </c>
    </row>
    <row r="148" spans="1:14" x14ac:dyDescent="0.35">
      <c r="A148" t="s">
        <v>143</v>
      </c>
      <c r="B148" t="s">
        <v>460</v>
      </c>
      <c r="C148" t="s">
        <v>587</v>
      </c>
      <c r="D148" s="2" t="s">
        <v>584</v>
      </c>
      <c r="E148" s="1" t="s">
        <v>596</v>
      </c>
      <c r="F148" s="3">
        <v>49</v>
      </c>
      <c r="G148" s="4">
        <v>150000</v>
      </c>
      <c r="H148" s="5">
        <v>144</v>
      </c>
      <c r="I148" s="6">
        <v>45837</v>
      </c>
      <c r="J148" s="2" t="s">
        <v>598</v>
      </c>
      <c r="K148" s="15">
        <f>PRODUCT(Table242[[#This Row],[Ticket Price]],Table242[[#This Row],[Passenger Count]])</f>
        <v>21600000</v>
      </c>
      <c r="L148" s="15">
        <f>Table242[[#This Row],[Revenue]]*(1-$Q$2)</f>
        <v>19440000</v>
      </c>
      <c r="M148" t="str">
        <f t="shared" si="2"/>
        <v>Late</v>
      </c>
      <c r="N148">
        <f>IF(Table242[[#This Row],[Performance Rating]]="On Time",1,0)</f>
        <v>0</v>
      </c>
    </row>
    <row r="149" spans="1:14" x14ac:dyDescent="0.35">
      <c r="A149" t="s">
        <v>144</v>
      </c>
      <c r="B149" t="s">
        <v>436</v>
      </c>
      <c r="C149" t="s">
        <v>584</v>
      </c>
      <c r="D149" s="2" t="s">
        <v>587</v>
      </c>
      <c r="E149" s="1" t="s">
        <v>596</v>
      </c>
      <c r="F149" s="3">
        <v>168</v>
      </c>
      <c r="G149" s="4">
        <v>120000</v>
      </c>
      <c r="H149" s="5">
        <v>75</v>
      </c>
      <c r="I149" s="6">
        <v>45792</v>
      </c>
      <c r="J149" s="2" t="s">
        <v>597</v>
      </c>
      <c r="K149" s="15">
        <f>PRODUCT(Table242[[#This Row],[Ticket Price]],Table242[[#This Row],[Passenger Count]])</f>
        <v>9000000</v>
      </c>
      <c r="L149" s="15">
        <f>Table242[[#This Row],[Revenue]]*(1-$Q$2)</f>
        <v>8100000</v>
      </c>
      <c r="M149" t="str">
        <f t="shared" si="2"/>
        <v>Late</v>
      </c>
      <c r="N149">
        <f>IF(Table242[[#This Row],[Performance Rating]]="On Time",1,0)</f>
        <v>0</v>
      </c>
    </row>
    <row r="150" spans="1:14" x14ac:dyDescent="0.35">
      <c r="A150" t="s">
        <v>145</v>
      </c>
      <c r="B150" t="s">
        <v>461</v>
      </c>
      <c r="C150" t="s">
        <v>584</v>
      </c>
      <c r="D150" s="2" t="s">
        <v>590</v>
      </c>
      <c r="E150" s="1" t="s">
        <v>593</v>
      </c>
      <c r="F150" s="3">
        <v>142</v>
      </c>
      <c r="G150" s="4">
        <v>70000</v>
      </c>
      <c r="H150" s="5">
        <v>127</v>
      </c>
      <c r="I150" s="6">
        <v>45668</v>
      </c>
      <c r="J150" s="2" t="s">
        <v>598</v>
      </c>
      <c r="K150" s="15">
        <f>PRODUCT(Table242[[#This Row],[Ticket Price]],Table242[[#This Row],[Passenger Count]])</f>
        <v>8890000</v>
      </c>
      <c r="L150" s="15">
        <f>Table242[[#This Row],[Revenue]]*(1-$Q$2)</f>
        <v>8001000</v>
      </c>
      <c r="M150" t="str">
        <f t="shared" si="2"/>
        <v>Late</v>
      </c>
      <c r="N150">
        <f>IF(Table242[[#This Row],[Performance Rating]]="On Time",1,0)</f>
        <v>0</v>
      </c>
    </row>
    <row r="151" spans="1:14" x14ac:dyDescent="0.35">
      <c r="A151" t="s">
        <v>146</v>
      </c>
      <c r="B151" t="s">
        <v>462</v>
      </c>
      <c r="C151" t="s">
        <v>583</v>
      </c>
      <c r="D151" s="2" t="s">
        <v>582</v>
      </c>
      <c r="E151" s="1" t="s">
        <v>592</v>
      </c>
      <c r="F151" s="3">
        <v>171</v>
      </c>
      <c r="G151" s="4">
        <v>95000</v>
      </c>
      <c r="H151" s="5">
        <v>173</v>
      </c>
      <c r="I151" s="6">
        <v>45758</v>
      </c>
      <c r="J151" s="2" t="s">
        <v>598</v>
      </c>
      <c r="K151" s="15">
        <f>PRODUCT(Table242[[#This Row],[Ticket Price]],Table242[[#This Row],[Passenger Count]])</f>
        <v>16435000</v>
      </c>
      <c r="L151" s="15">
        <f>Table242[[#This Row],[Revenue]]*(1-$Q$2)</f>
        <v>14791500</v>
      </c>
      <c r="M151" t="str">
        <f t="shared" si="2"/>
        <v>Late</v>
      </c>
      <c r="N151">
        <f>IF(Table242[[#This Row],[Performance Rating]]="On Time",1,0)</f>
        <v>0</v>
      </c>
    </row>
    <row r="152" spans="1:14" x14ac:dyDescent="0.35">
      <c r="A152" t="s">
        <v>147</v>
      </c>
      <c r="B152" t="s">
        <v>463</v>
      </c>
      <c r="C152" t="s">
        <v>586</v>
      </c>
      <c r="D152" s="2" t="s">
        <v>585</v>
      </c>
      <c r="E152" s="1" t="s">
        <v>593</v>
      </c>
      <c r="F152" s="3">
        <v>36</v>
      </c>
      <c r="G152" s="4">
        <v>100000</v>
      </c>
      <c r="H152" s="5">
        <v>107</v>
      </c>
      <c r="I152" s="6">
        <v>45838</v>
      </c>
      <c r="J152" s="2" t="s">
        <v>597</v>
      </c>
      <c r="K152" s="15">
        <f>PRODUCT(Table242[[#This Row],[Ticket Price]],Table242[[#This Row],[Passenger Count]])</f>
        <v>10700000</v>
      </c>
      <c r="L152" s="15">
        <f>Table242[[#This Row],[Revenue]]*(1-$Q$2)</f>
        <v>9630000</v>
      </c>
      <c r="M152" t="str">
        <f t="shared" si="2"/>
        <v>Late</v>
      </c>
      <c r="N152">
        <f>IF(Table242[[#This Row],[Performance Rating]]="On Time",1,0)</f>
        <v>0</v>
      </c>
    </row>
    <row r="153" spans="1:14" x14ac:dyDescent="0.35">
      <c r="A153" t="s">
        <v>148</v>
      </c>
      <c r="B153" t="s">
        <v>393</v>
      </c>
      <c r="C153" t="s">
        <v>587</v>
      </c>
      <c r="D153" s="2" t="s">
        <v>583</v>
      </c>
      <c r="E153" s="1" t="s">
        <v>592</v>
      </c>
      <c r="F153" s="3">
        <v>67</v>
      </c>
      <c r="G153" s="4">
        <v>70000</v>
      </c>
      <c r="H153" s="5">
        <v>154</v>
      </c>
      <c r="I153" s="6">
        <v>45818</v>
      </c>
      <c r="J153" s="2" t="s">
        <v>598</v>
      </c>
      <c r="K153" s="15">
        <f>PRODUCT(Table242[[#This Row],[Ticket Price]],Table242[[#This Row],[Passenger Count]])</f>
        <v>10780000</v>
      </c>
      <c r="L153" s="15">
        <f>Table242[[#This Row],[Revenue]]*(1-$Q$2)</f>
        <v>9702000</v>
      </c>
      <c r="M153" t="str">
        <f t="shared" si="2"/>
        <v>Late</v>
      </c>
      <c r="N153">
        <f>IF(Table242[[#This Row],[Performance Rating]]="On Time",1,0)</f>
        <v>0</v>
      </c>
    </row>
    <row r="154" spans="1:14" x14ac:dyDescent="0.35">
      <c r="A154" t="s">
        <v>149</v>
      </c>
      <c r="B154" t="s">
        <v>464</v>
      </c>
      <c r="C154" t="s">
        <v>586</v>
      </c>
      <c r="D154" s="2" t="s">
        <v>587</v>
      </c>
      <c r="E154" s="1" t="s">
        <v>595</v>
      </c>
      <c r="F154" s="3">
        <v>20</v>
      </c>
      <c r="G154" s="4">
        <v>100000</v>
      </c>
      <c r="H154" s="5">
        <v>104</v>
      </c>
      <c r="I154" s="6">
        <v>45680</v>
      </c>
      <c r="J154" s="2" t="s">
        <v>598</v>
      </c>
      <c r="K154" s="15">
        <f>PRODUCT(Table242[[#This Row],[Ticket Price]],Table242[[#This Row],[Passenger Count]])</f>
        <v>10400000</v>
      </c>
      <c r="L154" s="15">
        <f>Table242[[#This Row],[Revenue]]*(1-$Q$2)</f>
        <v>9360000</v>
      </c>
      <c r="M154" t="str">
        <f t="shared" si="2"/>
        <v>Slight Delay</v>
      </c>
      <c r="N154">
        <f>IF(Table242[[#This Row],[Performance Rating]]="On Time",1,0)</f>
        <v>0</v>
      </c>
    </row>
    <row r="155" spans="1:14" x14ac:dyDescent="0.35">
      <c r="A155" t="s">
        <v>150</v>
      </c>
      <c r="B155" t="s">
        <v>465</v>
      </c>
      <c r="C155" t="s">
        <v>586</v>
      </c>
      <c r="D155" s="2" t="s">
        <v>590</v>
      </c>
      <c r="E155" s="1" t="s">
        <v>596</v>
      </c>
      <c r="F155" s="3">
        <v>14</v>
      </c>
      <c r="G155" s="4">
        <v>55000</v>
      </c>
      <c r="H155" s="5">
        <v>90</v>
      </c>
      <c r="I155" s="6">
        <v>45699</v>
      </c>
      <c r="J155" s="2" t="s">
        <v>597</v>
      </c>
      <c r="K155" s="15">
        <f>PRODUCT(Table242[[#This Row],[Ticket Price]],Table242[[#This Row],[Passenger Count]])</f>
        <v>4950000</v>
      </c>
      <c r="L155" s="15">
        <f>Table242[[#This Row],[Revenue]]*(1-$Q$2)</f>
        <v>4455000</v>
      </c>
      <c r="M155" t="str">
        <f t="shared" si="2"/>
        <v>Slight Delay</v>
      </c>
      <c r="N155">
        <f>IF(Table242[[#This Row],[Performance Rating]]="On Time",1,0)</f>
        <v>0</v>
      </c>
    </row>
    <row r="156" spans="1:14" x14ac:dyDescent="0.35">
      <c r="A156" t="s">
        <v>151</v>
      </c>
      <c r="B156" t="s">
        <v>466</v>
      </c>
      <c r="C156" t="s">
        <v>588</v>
      </c>
      <c r="D156" s="2" t="s">
        <v>587</v>
      </c>
      <c r="E156" s="1" t="s">
        <v>595</v>
      </c>
      <c r="F156" s="3">
        <v>36</v>
      </c>
      <c r="G156" s="4">
        <v>115000</v>
      </c>
      <c r="H156" s="5">
        <v>89</v>
      </c>
      <c r="I156" s="6">
        <v>45769</v>
      </c>
      <c r="J156" s="2" t="s">
        <v>598</v>
      </c>
      <c r="K156" s="15">
        <f>PRODUCT(Table242[[#This Row],[Ticket Price]],Table242[[#This Row],[Passenger Count]])</f>
        <v>10235000</v>
      </c>
      <c r="L156" s="15">
        <f>Table242[[#This Row],[Revenue]]*(1-$Q$2)</f>
        <v>9211500</v>
      </c>
      <c r="M156" t="str">
        <f t="shared" si="2"/>
        <v>Late</v>
      </c>
      <c r="N156">
        <f>IF(Table242[[#This Row],[Performance Rating]]="On Time",1,0)</f>
        <v>0</v>
      </c>
    </row>
    <row r="157" spans="1:14" x14ac:dyDescent="0.35">
      <c r="A157" t="s">
        <v>152</v>
      </c>
      <c r="B157" t="s">
        <v>467</v>
      </c>
      <c r="C157" t="s">
        <v>584</v>
      </c>
      <c r="D157" s="2" t="s">
        <v>590</v>
      </c>
      <c r="E157" s="1" t="s">
        <v>595</v>
      </c>
      <c r="F157" s="3">
        <v>90</v>
      </c>
      <c r="G157" s="4">
        <v>110000</v>
      </c>
      <c r="H157" s="5">
        <v>169</v>
      </c>
      <c r="I157" s="6">
        <v>45701</v>
      </c>
      <c r="J157" s="2" t="s">
        <v>597</v>
      </c>
      <c r="K157" s="15">
        <f>PRODUCT(Table242[[#This Row],[Ticket Price]],Table242[[#This Row],[Passenger Count]])</f>
        <v>18590000</v>
      </c>
      <c r="L157" s="15">
        <f>Table242[[#This Row],[Revenue]]*(1-$Q$2)</f>
        <v>16731000</v>
      </c>
      <c r="M157" t="str">
        <f t="shared" si="2"/>
        <v>Late</v>
      </c>
      <c r="N157">
        <f>IF(Table242[[#This Row],[Performance Rating]]="On Time",1,0)</f>
        <v>0</v>
      </c>
    </row>
    <row r="158" spans="1:14" x14ac:dyDescent="0.35">
      <c r="A158" t="s">
        <v>153</v>
      </c>
      <c r="B158" t="s">
        <v>433</v>
      </c>
      <c r="C158" t="s">
        <v>585</v>
      </c>
      <c r="D158" s="2" t="s">
        <v>584</v>
      </c>
      <c r="E158" s="1" t="s">
        <v>596</v>
      </c>
      <c r="F158" s="3">
        <v>83</v>
      </c>
      <c r="G158" s="4">
        <v>85000</v>
      </c>
      <c r="H158" s="5">
        <v>62</v>
      </c>
      <c r="I158" s="6">
        <v>45762</v>
      </c>
      <c r="J158" s="2" t="s">
        <v>597</v>
      </c>
      <c r="K158" s="15">
        <f>PRODUCT(Table242[[#This Row],[Ticket Price]],Table242[[#This Row],[Passenger Count]])</f>
        <v>5270000</v>
      </c>
      <c r="L158" s="15">
        <f>Table242[[#This Row],[Revenue]]*(1-$Q$2)</f>
        <v>4743000</v>
      </c>
      <c r="M158" t="str">
        <f t="shared" si="2"/>
        <v>Late</v>
      </c>
      <c r="N158">
        <f>IF(Table242[[#This Row],[Performance Rating]]="On Time",1,0)</f>
        <v>0</v>
      </c>
    </row>
    <row r="159" spans="1:14" x14ac:dyDescent="0.35">
      <c r="A159" t="s">
        <v>154</v>
      </c>
      <c r="B159" t="s">
        <v>468</v>
      </c>
      <c r="C159" t="s">
        <v>585</v>
      </c>
      <c r="D159" s="2" t="s">
        <v>583</v>
      </c>
      <c r="E159" s="1" t="s">
        <v>594</v>
      </c>
      <c r="F159" s="3">
        <v>27</v>
      </c>
      <c r="G159" s="4">
        <v>145000</v>
      </c>
      <c r="H159" s="5">
        <v>112</v>
      </c>
      <c r="I159" s="6">
        <v>45786</v>
      </c>
      <c r="J159" s="2" t="s">
        <v>598</v>
      </c>
      <c r="K159" s="15">
        <f>PRODUCT(Table242[[#This Row],[Ticket Price]],Table242[[#This Row],[Passenger Count]])</f>
        <v>16240000</v>
      </c>
      <c r="L159" s="15">
        <f>Table242[[#This Row],[Revenue]]*(1-$Q$2)</f>
        <v>14616000</v>
      </c>
      <c r="M159" t="str">
        <f t="shared" si="2"/>
        <v>Slight Delay</v>
      </c>
      <c r="N159">
        <f>IF(Table242[[#This Row],[Performance Rating]]="On Time",1,0)</f>
        <v>0</v>
      </c>
    </row>
    <row r="160" spans="1:14" x14ac:dyDescent="0.35">
      <c r="A160" t="s">
        <v>155</v>
      </c>
      <c r="B160" t="s">
        <v>469</v>
      </c>
      <c r="C160" t="s">
        <v>583</v>
      </c>
      <c r="D160" s="2" t="s">
        <v>585</v>
      </c>
      <c r="E160" s="1" t="s">
        <v>594</v>
      </c>
      <c r="F160" s="3">
        <v>0</v>
      </c>
      <c r="G160" s="4">
        <v>145000</v>
      </c>
      <c r="H160" s="5">
        <v>130</v>
      </c>
      <c r="I160" s="6">
        <v>45771</v>
      </c>
      <c r="J160" s="2" t="s">
        <v>597</v>
      </c>
      <c r="K160" s="15">
        <f>PRODUCT(Table242[[#This Row],[Ticket Price]],Table242[[#This Row],[Passenger Count]])</f>
        <v>18850000</v>
      </c>
      <c r="L160" s="15">
        <f>Table242[[#This Row],[Revenue]]*(1-$Q$2)</f>
        <v>16965000</v>
      </c>
      <c r="M160" t="str">
        <f t="shared" si="2"/>
        <v>On Time</v>
      </c>
      <c r="N160">
        <f>IF(Table242[[#This Row],[Performance Rating]]="On Time",1,0)</f>
        <v>1</v>
      </c>
    </row>
    <row r="161" spans="1:14" x14ac:dyDescent="0.35">
      <c r="A161" t="s">
        <v>156</v>
      </c>
      <c r="B161" t="s">
        <v>470</v>
      </c>
      <c r="C161" t="s">
        <v>581</v>
      </c>
      <c r="D161" s="2" t="s">
        <v>583</v>
      </c>
      <c r="E161" s="1" t="s">
        <v>596</v>
      </c>
      <c r="F161" s="3">
        <v>17</v>
      </c>
      <c r="G161" s="4">
        <v>145000</v>
      </c>
      <c r="H161" s="5">
        <v>60</v>
      </c>
      <c r="I161" s="6">
        <v>45713</v>
      </c>
      <c r="J161" s="2" t="s">
        <v>598</v>
      </c>
      <c r="K161" s="15">
        <f>PRODUCT(Table242[[#This Row],[Ticket Price]],Table242[[#This Row],[Passenger Count]])</f>
        <v>8700000</v>
      </c>
      <c r="L161" s="15">
        <f>Table242[[#This Row],[Revenue]]*(1-$Q$2)</f>
        <v>7830000</v>
      </c>
      <c r="M161" t="str">
        <f t="shared" si="2"/>
        <v>Slight Delay</v>
      </c>
      <c r="N161">
        <f>IF(Table242[[#This Row],[Performance Rating]]="On Time",1,0)</f>
        <v>0</v>
      </c>
    </row>
    <row r="162" spans="1:14" x14ac:dyDescent="0.35">
      <c r="A162" t="s">
        <v>157</v>
      </c>
      <c r="B162" t="s">
        <v>379</v>
      </c>
      <c r="C162" t="s">
        <v>587</v>
      </c>
      <c r="D162" s="2" t="s">
        <v>591</v>
      </c>
      <c r="E162" s="1" t="s">
        <v>594</v>
      </c>
      <c r="F162" s="3">
        <v>56</v>
      </c>
      <c r="G162" s="4">
        <v>120000</v>
      </c>
      <c r="H162" s="5">
        <v>113</v>
      </c>
      <c r="I162" s="6">
        <v>45734</v>
      </c>
      <c r="J162" s="2" t="s">
        <v>597</v>
      </c>
      <c r="K162" s="15">
        <f>PRODUCT(Table242[[#This Row],[Ticket Price]],Table242[[#This Row],[Passenger Count]])</f>
        <v>13560000</v>
      </c>
      <c r="L162" s="15">
        <f>Table242[[#This Row],[Revenue]]*(1-$Q$2)</f>
        <v>12204000</v>
      </c>
      <c r="M162" t="str">
        <f t="shared" si="2"/>
        <v>Late</v>
      </c>
      <c r="N162">
        <f>IF(Table242[[#This Row],[Performance Rating]]="On Time",1,0)</f>
        <v>0</v>
      </c>
    </row>
    <row r="163" spans="1:14" x14ac:dyDescent="0.35">
      <c r="A163" t="s">
        <v>158</v>
      </c>
      <c r="B163" t="s">
        <v>471</v>
      </c>
      <c r="C163" t="s">
        <v>584</v>
      </c>
      <c r="D163" s="2" t="s">
        <v>582</v>
      </c>
      <c r="E163" s="1" t="s">
        <v>595</v>
      </c>
      <c r="F163" s="3">
        <v>51</v>
      </c>
      <c r="G163" s="4">
        <v>35000</v>
      </c>
      <c r="H163" s="5">
        <v>166</v>
      </c>
      <c r="I163" s="6">
        <v>45783</v>
      </c>
      <c r="J163" s="2" t="s">
        <v>598</v>
      </c>
      <c r="K163" s="15">
        <f>PRODUCT(Table242[[#This Row],[Ticket Price]],Table242[[#This Row],[Passenger Count]])</f>
        <v>5810000</v>
      </c>
      <c r="L163" s="15">
        <f>Table242[[#This Row],[Revenue]]*(1-$Q$2)</f>
        <v>5229000</v>
      </c>
      <c r="M163" t="str">
        <f t="shared" si="2"/>
        <v>Late</v>
      </c>
      <c r="N163">
        <f>IF(Table242[[#This Row],[Performance Rating]]="On Time",1,0)</f>
        <v>0</v>
      </c>
    </row>
    <row r="164" spans="1:14" x14ac:dyDescent="0.35">
      <c r="A164" t="s">
        <v>159</v>
      </c>
      <c r="B164" t="s">
        <v>412</v>
      </c>
      <c r="C164" t="s">
        <v>588</v>
      </c>
      <c r="D164" s="2" t="s">
        <v>584</v>
      </c>
      <c r="E164" s="1" t="s">
        <v>596</v>
      </c>
      <c r="F164" s="3">
        <v>148</v>
      </c>
      <c r="G164" s="4">
        <v>135000</v>
      </c>
      <c r="H164" s="5">
        <v>68</v>
      </c>
      <c r="I164" s="6">
        <v>45794</v>
      </c>
      <c r="J164" s="2" t="s">
        <v>597</v>
      </c>
      <c r="K164" s="15">
        <f>PRODUCT(Table242[[#This Row],[Ticket Price]],Table242[[#This Row],[Passenger Count]])</f>
        <v>9180000</v>
      </c>
      <c r="L164" s="15">
        <f>Table242[[#This Row],[Revenue]]*(1-$Q$2)</f>
        <v>8262000</v>
      </c>
      <c r="M164" t="str">
        <f t="shared" si="2"/>
        <v>Late</v>
      </c>
      <c r="N164">
        <f>IF(Table242[[#This Row],[Performance Rating]]="On Time",1,0)</f>
        <v>0</v>
      </c>
    </row>
    <row r="165" spans="1:14" x14ac:dyDescent="0.35">
      <c r="A165" t="s">
        <v>160</v>
      </c>
      <c r="B165" t="s">
        <v>472</v>
      </c>
      <c r="C165" t="s">
        <v>587</v>
      </c>
      <c r="D165" s="2" t="s">
        <v>591</v>
      </c>
      <c r="E165" s="1" t="s">
        <v>592</v>
      </c>
      <c r="F165" s="3">
        <v>18</v>
      </c>
      <c r="G165" s="4">
        <v>85000</v>
      </c>
      <c r="H165" s="5">
        <v>144</v>
      </c>
      <c r="I165" s="6">
        <v>45810</v>
      </c>
      <c r="J165" s="2" t="s">
        <v>597</v>
      </c>
      <c r="K165" s="15">
        <f>PRODUCT(Table242[[#This Row],[Ticket Price]],Table242[[#This Row],[Passenger Count]])</f>
        <v>12240000</v>
      </c>
      <c r="L165" s="15">
        <f>Table242[[#This Row],[Revenue]]*(1-$Q$2)</f>
        <v>11016000</v>
      </c>
      <c r="M165" t="str">
        <f t="shared" si="2"/>
        <v>Slight Delay</v>
      </c>
      <c r="N165">
        <f>IF(Table242[[#This Row],[Performance Rating]]="On Time",1,0)</f>
        <v>0</v>
      </c>
    </row>
    <row r="166" spans="1:14" x14ac:dyDescent="0.35">
      <c r="A166" t="s">
        <v>161</v>
      </c>
      <c r="B166" t="s">
        <v>425</v>
      </c>
      <c r="C166" t="s">
        <v>581</v>
      </c>
      <c r="D166" s="2" t="s">
        <v>589</v>
      </c>
      <c r="E166" s="1" t="s">
        <v>596</v>
      </c>
      <c r="F166" s="3">
        <v>135</v>
      </c>
      <c r="G166" s="4">
        <v>35000</v>
      </c>
      <c r="H166" s="5">
        <v>75</v>
      </c>
      <c r="I166" s="6">
        <v>45809</v>
      </c>
      <c r="J166" s="2" t="s">
        <v>597</v>
      </c>
      <c r="K166" s="15">
        <f>PRODUCT(Table242[[#This Row],[Ticket Price]],Table242[[#This Row],[Passenger Count]])</f>
        <v>2625000</v>
      </c>
      <c r="L166" s="15">
        <f>Table242[[#This Row],[Revenue]]*(1-$Q$2)</f>
        <v>2362500</v>
      </c>
      <c r="M166" t="str">
        <f t="shared" si="2"/>
        <v>Late</v>
      </c>
      <c r="N166">
        <f>IF(Table242[[#This Row],[Performance Rating]]="On Time",1,0)</f>
        <v>0</v>
      </c>
    </row>
    <row r="167" spans="1:14" x14ac:dyDescent="0.35">
      <c r="A167" t="s">
        <v>162</v>
      </c>
      <c r="B167" t="s">
        <v>473</v>
      </c>
      <c r="C167" t="s">
        <v>583</v>
      </c>
      <c r="D167" s="2" t="s">
        <v>590</v>
      </c>
      <c r="E167" s="1" t="s">
        <v>595</v>
      </c>
      <c r="F167" s="3">
        <v>137</v>
      </c>
      <c r="G167" s="4">
        <v>35000</v>
      </c>
      <c r="H167" s="5">
        <v>77</v>
      </c>
      <c r="I167" s="6">
        <v>45757</v>
      </c>
      <c r="J167" s="2" t="s">
        <v>598</v>
      </c>
      <c r="K167" s="15">
        <f>PRODUCT(Table242[[#This Row],[Ticket Price]],Table242[[#This Row],[Passenger Count]])</f>
        <v>2695000</v>
      </c>
      <c r="L167" s="15">
        <f>Table242[[#This Row],[Revenue]]*(1-$Q$2)</f>
        <v>2425500</v>
      </c>
      <c r="M167" t="str">
        <f t="shared" si="2"/>
        <v>Late</v>
      </c>
      <c r="N167">
        <f>IF(Table242[[#This Row],[Performance Rating]]="On Time",1,0)</f>
        <v>0</v>
      </c>
    </row>
    <row r="168" spans="1:14" x14ac:dyDescent="0.35">
      <c r="A168" t="s">
        <v>163</v>
      </c>
      <c r="B168" t="s">
        <v>474</v>
      </c>
      <c r="C168" t="s">
        <v>583</v>
      </c>
      <c r="D168" s="2" t="s">
        <v>587</v>
      </c>
      <c r="E168" s="1" t="s">
        <v>593</v>
      </c>
      <c r="F168" s="3">
        <v>92</v>
      </c>
      <c r="G168" s="4">
        <v>100000</v>
      </c>
      <c r="H168" s="5">
        <v>66</v>
      </c>
      <c r="I168" s="6">
        <v>45706</v>
      </c>
      <c r="J168" s="2" t="s">
        <v>597</v>
      </c>
      <c r="K168" s="15">
        <f>PRODUCT(Table242[[#This Row],[Ticket Price]],Table242[[#This Row],[Passenger Count]])</f>
        <v>6600000</v>
      </c>
      <c r="L168" s="15">
        <f>Table242[[#This Row],[Revenue]]*(1-$Q$2)</f>
        <v>5940000</v>
      </c>
      <c r="M168" t="str">
        <f t="shared" si="2"/>
        <v>Late</v>
      </c>
      <c r="N168">
        <f>IF(Table242[[#This Row],[Performance Rating]]="On Time",1,0)</f>
        <v>0</v>
      </c>
    </row>
    <row r="169" spans="1:14" x14ac:dyDescent="0.35">
      <c r="A169" t="s">
        <v>164</v>
      </c>
      <c r="B169" t="s">
        <v>475</v>
      </c>
      <c r="C169" t="s">
        <v>583</v>
      </c>
      <c r="D169" s="2" t="s">
        <v>589</v>
      </c>
      <c r="E169" s="1" t="s">
        <v>592</v>
      </c>
      <c r="F169" s="3">
        <v>21</v>
      </c>
      <c r="G169" s="4">
        <v>140000</v>
      </c>
      <c r="H169" s="5">
        <v>118</v>
      </c>
      <c r="I169" s="6">
        <v>45675</v>
      </c>
      <c r="J169" s="2" t="s">
        <v>598</v>
      </c>
      <c r="K169" s="15">
        <f>PRODUCT(Table242[[#This Row],[Ticket Price]],Table242[[#This Row],[Passenger Count]])</f>
        <v>16520000</v>
      </c>
      <c r="L169" s="15">
        <f>Table242[[#This Row],[Revenue]]*(1-$Q$2)</f>
        <v>14868000</v>
      </c>
      <c r="M169" t="str">
        <f t="shared" si="2"/>
        <v>Slight Delay</v>
      </c>
      <c r="N169">
        <f>IF(Table242[[#This Row],[Performance Rating]]="On Time",1,0)</f>
        <v>0</v>
      </c>
    </row>
    <row r="170" spans="1:14" x14ac:dyDescent="0.35">
      <c r="A170" t="s">
        <v>165</v>
      </c>
      <c r="B170" t="s">
        <v>476</v>
      </c>
      <c r="C170" t="s">
        <v>588</v>
      </c>
      <c r="D170" s="2" t="s">
        <v>585</v>
      </c>
      <c r="E170" s="1" t="s">
        <v>596</v>
      </c>
      <c r="F170" s="3">
        <v>24</v>
      </c>
      <c r="G170" s="4">
        <v>80000</v>
      </c>
      <c r="H170" s="5">
        <v>149</v>
      </c>
      <c r="I170" s="6">
        <v>45756</v>
      </c>
      <c r="J170" s="2" t="s">
        <v>597</v>
      </c>
      <c r="K170" s="15">
        <f>PRODUCT(Table242[[#This Row],[Ticket Price]],Table242[[#This Row],[Passenger Count]])</f>
        <v>11920000</v>
      </c>
      <c r="L170" s="15">
        <f>Table242[[#This Row],[Revenue]]*(1-$Q$2)</f>
        <v>10728000</v>
      </c>
      <c r="M170" t="str">
        <f t="shared" si="2"/>
        <v>Slight Delay</v>
      </c>
      <c r="N170">
        <f>IF(Table242[[#This Row],[Performance Rating]]="On Time",1,0)</f>
        <v>0</v>
      </c>
    </row>
    <row r="171" spans="1:14" x14ac:dyDescent="0.35">
      <c r="A171" t="s">
        <v>166</v>
      </c>
      <c r="B171" t="s">
        <v>477</v>
      </c>
      <c r="C171" t="s">
        <v>585</v>
      </c>
      <c r="D171" s="2" t="s">
        <v>589</v>
      </c>
      <c r="E171" s="1" t="s">
        <v>592</v>
      </c>
      <c r="F171" s="3">
        <v>52</v>
      </c>
      <c r="G171" s="4">
        <v>40000</v>
      </c>
      <c r="H171" s="5">
        <v>148</v>
      </c>
      <c r="I171" s="6">
        <v>45749</v>
      </c>
      <c r="J171" s="2" t="s">
        <v>598</v>
      </c>
      <c r="K171" s="15">
        <f>PRODUCT(Table242[[#This Row],[Ticket Price]],Table242[[#This Row],[Passenger Count]])</f>
        <v>5920000</v>
      </c>
      <c r="L171" s="15">
        <f>Table242[[#This Row],[Revenue]]*(1-$Q$2)</f>
        <v>5328000</v>
      </c>
      <c r="M171" t="str">
        <f t="shared" si="2"/>
        <v>Late</v>
      </c>
      <c r="N171">
        <f>IF(Table242[[#This Row],[Performance Rating]]="On Time",1,0)</f>
        <v>0</v>
      </c>
    </row>
    <row r="172" spans="1:14" x14ac:dyDescent="0.35">
      <c r="A172" t="s">
        <v>167</v>
      </c>
      <c r="B172" t="s">
        <v>478</v>
      </c>
      <c r="C172" t="s">
        <v>587</v>
      </c>
      <c r="D172" s="2" t="s">
        <v>589</v>
      </c>
      <c r="E172" s="1" t="s">
        <v>593</v>
      </c>
      <c r="F172" s="3">
        <v>97</v>
      </c>
      <c r="G172" s="4">
        <v>140000</v>
      </c>
      <c r="H172" s="5">
        <v>76</v>
      </c>
      <c r="I172" s="6">
        <v>45733</v>
      </c>
      <c r="J172" s="2" t="s">
        <v>598</v>
      </c>
      <c r="K172" s="15">
        <f>PRODUCT(Table242[[#This Row],[Ticket Price]],Table242[[#This Row],[Passenger Count]])</f>
        <v>10640000</v>
      </c>
      <c r="L172" s="15">
        <f>Table242[[#This Row],[Revenue]]*(1-$Q$2)</f>
        <v>9576000</v>
      </c>
      <c r="M172" t="str">
        <f t="shared" si="2"/>
        <v>Late</v>
      </c>
      <c r="N172">
        <f>IF(Table242[[#This Row],[Performance Rating]]="On Time",1,0)</f>
        <v>0</v>
      </c>
    </row>
    <row r="173" spans="1:14" x14ac:dyDescent="0.35">
      <c r="A173" t="s">
        <v>168</v>
      </c>
      <c r="B173" t="s">
        <v>479</v>
      </c>
      <c r="C173" t="s">
        <v>587</v>
      </c>
      <c r="D173" s="2" t="s">
        <v>585</v>
      </c>
      <c r="E173" s="1" t="s">
        <v>593</v>
      </c>
      <c r="F173" s="3">
        <v>140</v>
      </c>
      <c r="G173" s="4">
        <v>90000</v>
      </c>
      <c r="H173" s="5">
        <v>146</v>
      </c>
      <c r="I173" s="6">
        <v>45664</v>
      </c>
      <c r="J173" s="2" t="s">
        <v>597</v>
      </c>
      <c r="K173" s="15">
        <f>PRODUCT(Table242[[#This Row],[Ticket Price]],Table242[[#This Row],[Passenger Count]])</f>
        <v>13140000</v>
      </c>
      <c r="L173" s="15">
        <f>Table242[[#This Row],[Revenue]]*(1-$Q$2)</f>
        <v>11826000</v>
      </c>
      <c r="M173" t="str">
        <f t="shared" si="2"/>
        <v>Late</v>
      </c>
      <c r="N173">
        <f>IF(Table242[[#This Row],[Performance Rating]]="On Time",1,0)</f>
        <v>0</v>
      </c>
    </row>
    <row r="174" spans="1:14" x14ac:dyDescent="0.35">
      <c r="A174" t="s">
        <v>169</v>
      </c>
      <c r="B174" t="s">
        <v>480</v>
      </c>
      <c r="C174" t="s">
        <v>587</v>
      </c>
      <c r="D174" s="2" t="s">
        <v>589</v>
      </c>
      <c r="E174" s="1" t="s">
        <v>593</v>
      </c>
      <c r="F174" s="3">
        <v>27</v>
      </c>
      <c r="G174" s="4">
        <v>30000</v>
      </c>
      <c r="H174" s="5">
        <v>144</v>
      </c>
      <c r="I174" s="6">
        <v>45756</v>
      </c>
      <c r="J174" s="2" t="s">
        <v>597</v>
      </c>
      <c r="K174" s="15">
        <f>PRODUCT(Table242[[#This Row],[Ticket Price]],Table242[[#This Row],[Passenger Count]])</f>
        <v>4320000</v>
      </c>
      <c r="L174" s="15">
        <f>Table242[[#This Row],[Revenue]]*(1-$Q$2)</f>
        <v>3888000</v>
      </c>
      <c r="M174" t="str">
        <f t="shared" si="2"/>
        <v>Slight Delay</v>
      </c>
      <c r="N174">
        <f>IF(Table242[[#This Row],[Performance Rating]]="On Time",1,0)</f>
        <v>0</v>
      </c>
    </row>
    <row r="175" spans="1:14" x14ac:dyDescent="0.35">
      <c r="A175" t="s">
        <v>170</v>
      </c>
      <c r="B175" t="s">
        <v>481</v>
      </c>
      <c r="C175" t="s">
        <v>583</v>
      </c>
      <c r="D175" s="2" t="s">
        <v>589</v>
      </c>
      <c r="E175" s="1" t="s">
        <v>596</v>
      </c>
      <c r="F175" s="3">
        <v>-3</v>
      </c>
      <c r="G175" s="4">
        <v>135000</v>
      </c>
      <c r="H175" s="5">
        <v>78</v>
      </c>
      <c r="I175" s="6">
        <v>45787</v>
      </c>
      <c r="J175" s="2" t="s">
        <v>598</v>
      </c>
      <c r="K175" s="15">
        <f>PRODUCT(Table242[[#This Row],[Ticket Price]],Table242[[#This Row],[Passenger Count]])</f>
        <v>10530000</v>
      </c>
      <c r="L175" s="15">
        <f>Table242[[#This Row],[Revenue]]*(1-$Q$2)</f>
        <v>9477000</v>
      </c>
      <c r="M175" t="str">
        <f t="shared" si="2"/>
        <v>On Time</v>
      </c>
      <c r="N175">
        <f>IF(Table242[[#This Row],[Performance Rating]]="On Time",1,0)</f>
        <v>1</v>
      </c>
    </row>
    <row r="176" spans="1:14" x14ac:dyDescent="0.35">
      <c r="A176" t="s">
        <v>171</v>
      </c>
      <c r="B176" t="s">
        <v>482</v>
      </c>
      <c r="C176" t="s">
        <v>586</v>
      </c>
      <c r="D176" s="2" t="s">
        <v>587</v>
      </c>
      <c r="E176" s="1" t="s">
        <v>593</v>
      </c>
      <c r="F176" s="3">
        <v>108</v>
      </c>
      <c r="G176" s="4">
        <v>135000</v>
      </c>
      <c r="H176" s="5">
        <v>79</v>
      </c>
      <c r="I176" s="6">
        <v>45687</v>
      </c>
      <c r="J176" s="2" t="s">
        <v>598</v>
      </c>
      <c r="K176" s="15">
        <f>PRODUCT(Table242[[#This Row],[Ticket Price]],Table242[[#This Row],[Passenger Count]])</f>
        <v>10665000</v>
      </c>
      <c r="L176" s="15">
        <f>Table242[[#This Row],[Revenue]]*(1-$Q$2)</f>
        <v>9598500</v>
      </c>
      <c r="M176" t="str">
        <f t="shared" si="2"/>
        <v>Late</v>
      </c>
      <c r="N176">
        <f>IF(Table242[[#This Row],[Performance Rating]]="On Time",1,0)</f>
        <v>0</v>
      </c>
    </row>
    <row r="177" spans="1:14" x14ac:dyDescent="0.35">
      <c r="A177" t="s">
        <v>172</v>
      </c>
      <c r="B177" t="s">
        <v>380</v>
      </c>
      <c r="C177" t="s">
        <v>585</v>
      </c>
      <c r="D177" s="2" t="s">
        <v>587</v>
      </c>
      <c r="E177" s="1" t="s">
        <v>595</v>
      </c>
      <c r="F177" s="3">
        <v>103</v>
      </c>
      <c r="G177" s="4">
        <v>50000</v>
      </c>
      <c r="H177" s="5">
        <v>98</v>
      </c>
      <c r="I177" s="6">
        <v>45829</v>
      </c>
      <c r="J177" s="2" t="s">
        <v>597</v>
      </c>
      <c r="K177" s="15">
        <f>PRODUCT(Table242[[#This Row],[Ticket Price]],Table242[[#This Row],[Passenger Count]])</f>
        <v>4900000</v>
      </c>
      <c r="L177" s="15">
        <f>Table242[[#This Row],[Revenue]]*(1-$Q$2)</f>
        <v>4410000</v>
      </c>
      <c r="M177" t="str">
        <f t="shared" si="2"/>
        <v>Late</v>
      </c>
      <c r="N177">
        <f>IF(Table242[[#This Row],[Performance Rating]]="On Time",1,0)</f>
        <v>0</v>
      </c>
    </row>
    <row r="178" spans="1:14" x14ac:dyDescent="0.35">
      <c r="A178" t="s">
        <v>173</v>
      </c>
      <c r="B178" t="s">
        <v>483</v>
      </c>
      <c r="C178" t="s">
        <v>584</v>
      </c>
      <c r="D178" s="2" t="s">
        <v>590</v>
      </c>
      <c r="E178" s="1" t="s">
        <v>596</v>
      </c>
      <c r="F178" s="3">
        <v>172</v>
      </c>
      <c r="G178" s="4">
        <v>40000</v>
      </c>
      <c r="H178" s="5">
        <v>63</v>
      </c>
      <c r="I178" s="6">
        <v>45723</v>
      </c>
      <c r="J178" s="2" t="s">
        <v>597</v>
      </c>
      <c r="K178" s="15">
        <f>PRODUCT(Table242[[#This Row],[Ticket Price]],Table242[[#This Row],[Passenger Count]])</f>
        <v>2520000</v>
      </c>
      <c r="L178" s="15">
        <f>Table242[[#This Row],[Revenue]]*(1-$Q$2)</f>
        <v>2268000</v>
      </c>
      <c r="M178" t="str">
        <f t="shared" si="2"/>
        <v>Late</v>
      </c>
      <c r="N178">
        <f>IF(Table242[[#This Row],[Performance Rating]]="On Time",1,0)</f>
        <v>0</v>
      </c>
    </row>
    <row r="179" spans="1:14" x14ac:dyDescent="0.35">
      <c r="A179" t="s">
        <v>174</v>
      </c>
      <c r="B179" t="s">
        <v>484</v>
      </c>
      <c r="C179" t="s">
        <v>583</v>
      </c>
      <c r="D179" s="2" t="s">
        <v>587</v>
      </c>
      <c r="E179" s="1" t="s">
        <v>595</v>
      </c>
      <c r="F179" s="3">
        <v>79</v>
      </c>
      <c r="G179" s="4">
        <v>50000</v>
      </c>
      <c r="H179" s="5">
        <v>116</v>
      </c>
      <c r="I179" s="6">
        <v>45674</v>
      </c>
      <c r="J179" s="2" t="s">
        <v>597</v>
      </c>
      <c r="K179" s="15">
        <f>PRODUCT(Table242[[#This Row],[Ticket Price]],Table242[[#This Row],[Passenger Count]])</f>
        <v>5800000</v>
      </c>
      <c r="L179" s="15">
        <f>Table242[[#This Row],[Revenue]]*(1-$Q$2)</f>
        <v>5220000</v>
      </c>
      <c r="M179" t="str">
        <f t="shared" si="2"/>
        <v>Late</v>
      </c>
      <c r="N179">
        <f>IF(Table242[[#This Row],[Performance Rating]]="On Time",1,0)</f>
        <v>0</v>
      </c>
    </row>
    <row r="180" spans="1:14" x14ac:dyDescent="0.35">
      <c r="A180" t="s">
        <v>175</v>
      </c>
      <c r="B180" t="s">
        <v>485</v>
      </c>
      <c r="C180" t="s">
        <v>585</v>
      </c>
      <c r="D180" s="2" t="s">
        <v>591</v>
      </c>
      <c r="E180" s="1" t="s">
        <v>596</v>
      </c>
      <c r="F180" s="3">
        <v>85</v>
      </c>
      <c r="G180" s="4">
        <v>40000</v>
      </c>
      <c r="H180" s="5">
        <v>102</v>
      </c>
      <c r="I180" s="6">
        <v>45834</v>
      </c>
      <c r="J180" s="2" t="s">
        <v>598</v>
      </c>
      <c r="K180" s="15">
        <f>PRODUCT(Table242[[#This Row],[Ticket Price]],Table242[[#This Row],[Passenger Count]])</f>
        <v>4080000</v>
      </c>
      <c r="L180" s="15">
        <f>Table242[[#This Row],[Revenue]]*(1-$Q$2)</f>
        <v>3672000</v>
      </c>
      <c r="M180" t="str">
        <f t="shared" si="2"/>
        <v>Late</v>
      </c>
      <c r="N180">
        <f>IF(Table242[[#This Row],[Performance Rating]]="On Time",1,0)</f>
        <v>0</v>
      </c>
    </row>
    <row r="181" spans="1:14" x14ac:dyDescent="0.35">
      <c r="A181" t="s">
        <v>176</v>
      </c>
      <c r="B181" t="s">
        <v>396</v>
      </c>
      <c r="C181" t="s">
        <v>584</v>
      </c>
      <c r="D181" s="2" t="s">
        <v>589</v>
      </c>
      <c r="E181" s="1" t="s">
        <v>595</v>
      </c>
      <c r="F181" s="3">
        <v>71</v>
      </c>
      <c r="G181" s="4">
        <v>65000</v>
      </c>
      <c r="H181" s="5">
        <v>120</v>
      </c>
      <c r="I181" s="6">
        <v>45660</v>
      </c>
      <c r="J181" s="2" t="s">
        <v>597</v>
      </c>
      <c r="K181" s="15">
        <f>PRODUCT(Table242[[#This Row],[Ticket Price]],Table242[[#This Row],[Passenger Count]])</f>
        <v>7800000</v>
      </c>
      <c r="L181" s="15">
        <f>Table242[[#This Row],[Revenue]]*(1-$Q$2)</f>
        <v>7020000</v>
      </c>
      <c r="M181" t="str">
        <f t="shared" si="2"/>
        <v>Late</v>
      </c>
      <c r="N181">
        <f>IF(Table242[[#This Row],[Performance Rating]]="On Time",1,0)</f>
        <v>0</v>
      </c>
    </row>
    <row r="182" spans="1:14" x14ac:dyDescent="0.35">
      <c r="A182" t="s">
        <v>177</v>
      </c>
      <c r="B182" t="s">
        <v>486</v>
      </c>
      <c r="C182" t="s">
        <v>583</v>
      </c>
      <c r="D182" s="2" t="s">
        <v>584</v>
      </c>
      <c r="E182" s="1" t="s">
        <v>592</v>
      </c>
      <c r="F182" s="3">
        <v>164</v>
      </c>
      <c r="G182" s="4">
        <v>80000</v>
      </c>
      <c r="H182" s="5">
        <v>115</v>
      </c>
      <c r="I182" s="6">
        <v>45715</v>
      </c>
      <c r="J182" s="2" t="s">
        <v>598</v>
      </c>
      <c r="K182" s="15">
        <f>PRODUCT(Table242[[#This Row],[Ticket Price]],Table242[[#This Row],[Passenger Count]])</f>
        <v>9200000</v>
      </c>
      <c r="L182" s="15">
        <f>Table242[[#This Row],[Revenue]]*(1-$Q$2)</f>
        <v>8280000</v>
      </c>
      <c r="M182" t="str">
        <f t="shared" si="2"/>
        <v>Late</v>
      </c>
      <c r="N182">
        <f>IF(Table242[[#This Row],[Performance Rating]]="On Time",1,0)</f>
        <v>0</v>
      </c>
    </row>
    <row r="183" spans="1:14" x14ac:dyDescent="0.35">
      <c r="A183" t="s">
        <v>178</v>
      </c>
      <c r="B183" t="s">
        <v>487</v>
      </c>
      <c r="C183" t="s">
        <v>582</v>
      </c>
      <c r="D183" s="2" t="s">
        <v>585</v>
      </c>
      <c r="E183" s="1" t="s">
        <v>595</v>
      </c>
      <c r="F183" s="3">
        <v>172</v>
      </c>
      <c r="G183" s="4">
        <v>35000</v>
      </c>
      <c r="H183" s="5">
        <v>141</v>
      </c>
      <c r="I183" s="6">
        <v>45816</v>
      </c>
      <c r="J183" s="2" t="s">
        <v>597</v>
      </c>
      <c r="K183" s="15">
        <f>PRODUCT(Table242[[#This Row],[Ticket Price]],Table242[[#This Row],[Passenger Count]])</f>
        <v>4935000</v>
      </c>
      <c r="L183" s="15">
        <f>Table242[[#This Row],[Revenue]]*(1-$Q$2)</f>
        <v>4441500</v>
      </c>
      <c r="M183" t="str">
        <f t="shared" si="2"/>
        <v>Late</v>
      </c>
      <c r="N183">
        <f>IF(Table242[[#This Row],[Performance Rating]]="On Time",1,0)</f>
        <v>0</v>
      </c>
    </row>
    <row r="184" spans="1:14" x14ac:dyDescent="0.35">
      <c r="A184" t="s">
        <v>179</v>
      </c>
      <c r="B184" t="s">
        <v>367</v>
      </c>
      <c r="C184" t="s">
        <v>584</v>
      </c>
      <c r="D184" s="2" t="s">
        <v>591</v>
      </c>
      <c r="E184" s="1" t="s">
        <v>593</v>
      </c>
      <c r="F184" s="3">
        <v>74</v>
      </c>
      <c r="G184" s="4">
        <v>140000</v>
      </c>
      <c r="H184" s="5">
        <v>97</v>
      </c>
      <c r="I184" s="6">
        <v>45705</v>
      </c>
      <c r="J184" s="2" t="s">
        <v>598</v>
      </c>
      <c r="K184" s="15">
        <f>PRODUCT(Table242[[#This Row],[Ticket Price]],Table242[[#This Row],[Passenger Count]])</f>
        <v>13580000</v>
      </c>
      <c r="L184" s="15">
        <f>Table242[[#This Row],[Revenue]]*(1-$Q$2)</f>
        <v>12222000</v>
      </c>
      <c r="M184" t="str">
        <f t="shared" si="2"/>
        <v>Late</v>
      </c>
      <c r="N184">
        <f>IF(Table242[[#This Row],[Performance Rating]]="On Time",1,0)</f>
        <v>0</v>
      </c>
    </row>
    <row r="185" spans="1:14" x14ac:dyDescent="0.35">
      <c r="A185" t="s">
        <v>180</v>
      </c>
      <c r="B185" t="s">
        <v>488</v>
      </c>
      <c r="C185" t="s">
        <v>587</v>
      </c>
      <c r="D185" s="2" t="s">
        <v>589</v>
      </c>
      <c r="E185" s="1" t="s">
        <v>594</v>
      </c>
      <c r="F185" s="3">
        <v>159</v>
      </c>
      <c r="G185" s="4">
        <v>75000</v>
      </c>
      <c r="H185" s="5">
        <v>138</v>
      </c>
      <c r="I185" s="6">
        <v>45725</v>
      </c>
      <c r="J185" s="2" t="s">
        <v>598</v>
      </c>
      <c r="K185" s="15">
        <f>PRODUCT(Table242[[#This Row],[Ticket Price]],Table242[[#This Row],[Passenger Count]])</f>
        <v>10350000</v>
      </c>
      <c r="L185" s="15">
        <f>Table242[[#This Row],[Revenue]]*(1-$Q$2)</f>
        <v>9315000</v>
      </c>
      <c r="M185" t="str">
        <f t="shared" si="2"/>
        <v>Late</v>
      </c>
      <c r="N185">
        <f>IF(Table242[[#This Row],[Performance Rating]]="On Time",1,0)</f>
        <v>0</v>
      </c>
    </row>
    <row r="186" spans="1:14" x14ac:dyDescent="0.35">
      <c r="A186" t="s">
        <v>181</v>
      </c>
      <c r="B186" t="s">
        <v>489</v>
      </c>
      <c r="C186" t="s">
        <v>582</v>
      </c>
      <c r="D186" s="2" t="s">
        <v>583</v>
      </c>
      <c r="E186" s="1" t="s">
        <v>592</v>
      </c>
      <c r="F186" s="3">
        <v>179</v>
      </c>
      <c r="G186" s="4">
        <v>30000</v>
      </c>
      <c r="H186" s="5">
        <v>77</v>
      </c>
      <c r="I186" s="6">
        <v>45664</v>
      </c>
      <c r="J186" s="2" t="s">
        <v>597</v>
      </c>
      <c r="K186" s="15">
        <f>PRODUCT(Table242[[#This Row],[Ticket Price]],Table242[[#This Row],[Passenger Count]])</f>
        <v>2310000</v>
      </c>
      <c r="L186" s="15">
        <f>Table242[[#This Row],[Revenue]]*(1-$Q$2)</f>
        <v>2079000</v>
      </c>
      <c r="M186" t="str">
        <f t="shared" si="2"/>
        <v>Late</v>
      </c>
      <c r="N186">
        <f>IF(Table242[[#This Row],[Performance Rating]]="On Time",1,0)</f>
        <v>0</v>
      </c>
    </row>
    <row r="187" spans="1:14" x14ac:dyDescent="0.35">
      <c r="A187" t="s">
        <v>182</v>
      </c>
      <c r="B187" t="s">
        <v>431</v>
      </c>
      <c r="C187" t="s">
        <v>582</v>
      </c>
      <c r="D187" s="2" t="s">
        <v>583</v>
      </c>
      <c r="E187" s="1" t="s">
        <v>592</v>
      </c>
      <c r="F187" s="3">
        <v>125</v>
      </c>
      <c r="G187" s="4">
        <v>135000</v>
      </c>
      <c r="H187" s="5">
        <v>128</v>
      </c>
      <c r="I187" s="6">
        <v>45693</v>
      </c>
      <c r="J187" s="2" t="s">
        <v>597</v>
      </c>
      <c r="K187" s="15">
        <f>PRODUCT(Table242[[#This Row],[Ticket Price]],Table242[[#This Row],[Passenger Count]])</f>
        <v>17280000</v>
      </c>
      <c r="L187" s="15">
        <f>Table242[[#This Row],[Revenue]]*(1-$Q$2)</f>
        <v>15552000</v>
      </c>
      <c r="M187" t="str">
        <f t="shared" si="2"/>
        <v>Late</v>
      </c>
      <c r="N187">
        <f>IF(Table242[[#This Row],[Performance Rating]]="On Time",1,0)</f>
        <v>0</v>
      </c>
    </row>
    <row r="188" spans="1:14" x14ac:dyDescent="0.35">
      <c r="A188" t="s">
        <v>183</v>
      </c>
      <c r="B188" t="s">
        <v>450</v>
      </c>
      <c r="C188" t="s">
        <v>585</v>
      </c>
      <c r="D188" s="2" t="s">
        <v>587</v>
      </c>
      <c r="E188" s="1" t="s">
        <v>592</v>
      </c>
      <c r="F188" s="3">
        <v>80</v>
      </c>
      <c r="G188" s="4">
        <v>145000</v>
      </c>
      <c r="H188" s="5">
        <v>63</v>
      </c>
      <c r="I188" s="6">
        <v>45696</v>
      </c>
      <c r="J188" s="2" t="s">
        <v>597</v>
      </c>
      <c r="K188" s="15">
        <f>PRODUCT(Table242[[#This Row],[Ticket Price]],Table242[[#This Row],[Passenger Count]])</f>
        <v>9135000</v>
      </c>
      <c r="L188" s="15">
        <f>Table242[[#This Row],[Revenue]]*(1-$Q$2)</f>
        <v>8221500</v>
      </c>
      <c r="M188" t="str">
        <f t="shared" si="2"/>
        <v>Late</v>
      </c>
      <c r="N188">
        <f>IF(Table242[[#This Row],[Performance Rating]]="On Time",1,0)</f>
        <v>0</v>
      </c>
    </row>
    <row r="189" spans="1:14" x14ac:dyDescent="0.35">
      <c r="A189" t="s">
        <v>184</v>
      </c>
      <c r="B189" t="s">
        <v>490</v>
      </c>
      <c r="C189" t="s">
        <v>581</v>
      </c>
      <c r="D189" s="2" t="s">
        <v>584</v>
      </c>
      <c r="E189" s="1" t="s">
        <v>594</v>
      </c>
      <c r="F189" s="3">
        <v>172</v>
      </c>
      <c r="G189" s="4">
        <v>100000</v>
      </c>
      <c r="H189" s="5">
        <v>133</v>
      </c>
      <c r="I189" s="6">
        <v>45733</v>
      </c>
      <c r="J189" s="2" t="s">
        <v>597</v>
      </c>
      <c r="K189" s="15">
        <f>PRODUCT(Table242[[#This Row],[Ticket Price]],Table242[[#This Row],[Passenger Count]])</f>
        <v>13300000</v>
      </c>
      <c r="L189" s="15">
        <f>Table242[[#This Row],[Revenue]]*(1-$Q$2)</f>
        <v>11970000</v>
      </c>
      <c r="M189" t="str">
        <f t="shared" si="2"/>
        <v>Late</v>
      </c>
      <c r="N189">
        <f>IF(Table242[[#This Row],[Performance Rating]]="On Time",1,0)</f>
        <v>0</v>
      </c>
    </row>
    <row r="190" spans="1:14" x14ac:dyDescent="0.35">
      <c r="A190" t="s">
        <v>185</v>
      </c>
      <c r="B190" t="s">
        <v>491</v>
      </c>
      <c r="C190" t="s">
        <v>588</v>
      </c>
      <c r="D190" s="2" t="s">
        <v>590</v>
      </c>
      <c r="E190" s="1" t="s">
        <v>596</v>
      </c>
      <c r="F190" s="3">
        <v>119</v>
      </c>
      <c r="G190" s="4">
        <v>45000</v>
      </c>
      <c r="H190" s="5">
        <v>69</v>
      </c>
      <c r="I190" s="6">
        <v>45669</v>
      </c>
      <c r="J190" s="2" t="s">
        <v>598</v>
      </c>
      <c r="K190" s="15">
        <f>PRODUCT(Table242[[#This Row],[Ticket Price]],Table242[[#This Row],[Passenger Count]])</f>
        <v>3105000</v>
      </c>
      <c r="L190" s="15">
        <f>Table242[[#This Row],[Revenue]]*(1-$Q$2)</f>
        <v>2794500</v>
      </c>
      <c r="M190" t="str">
        <f t="shared" si="2"/>
        <v>Late</v>
      </c>
      <c r="N190">
        <f>IF(Table242[[#This Row],[Performance Rating]]="On Time",1,0)</f>
        <v>0</v>
      </c>
    </row>
    <row r="191" spans="1:14" x14ac:dyDescent="0.35">
      <c r="A191" t="s">
        <v>186</v>
      </c>
      <c r="B191" t="s">
        <v>492</v>
      </c>
      <c r="C191" t="s">
        <v>588</v>
      </c>
      <c r="D191" s="2" t="s">
        <v>590</v>
      </c>
      <c r="E191" s="1" t="s">
        <v>596</v>
      </c>
      <c r="F191" s="3">
        <v>93</v>
      </c>
      <c r="G191" s="4">
        <v>70000</v>
      </c>
      <c r="H191" s="5">
        <v>123</v>
      </c>
      <c r="I191" s="6">
        <v>45666</v>
      </c>
      <c r="J191" s="2" t="s">
        <v>598</v>
      </c>
      <c r="K191" s="15">
        <f>PRODUCT(Table242[[#This Row],[Ticket Price]],Table242[[#This Row],[Passenger Count]])</f>
        <v>8610000</v>
      </c>
      <c r="L191" s="15">
        <f>Table242[[#This Row],[Revenue]]*(1-$Q$2)</f>
        <v>7749000</v>
      </c>
      <c r="M191" t="str">
        <f t="shared" si="2"/>
        <v>Late</v>
      </c>
      <c r="N191">
        <f>IF(Table242[[#This Row],[Performance Rating]]="On Time",1,0)</f>
        <v>0</v>
      </c>
    </row>
    <row r="192" spans="1:14" x14ac:dyDescent="0.35">
      <c r="A192" t="s">
        <v>187</v>
      </c>
      <c r="B192" t="s">
        <v>472</v>
      </c>
      <c r="C192" t="s">
        <v>586</v>
      </c>
      <c r="D192" s="2" t="s">
        <v>591</v>
      </c>
      <c r="E192" s="1" t="s">
        <v>592</v>
      </c>
      <c r="F192" s="3">
        <v>169</v>
      </c>
      <c r="G192" s="4">
        <v>40000</v>
      </c>
      <c r="H192" s="5">
        <v>111</v>
      </c>
      <c r="I192" s="6">
        <v>45746</v>
      </c>
      <c r="J192" s="2" t="s">
        <v>597</v>
      </c>
      <c r="K192" s="15">
        <f>PRODUCT(Table242[[#This Row],[Ticket Price]],Table242[[#This Row],[Passenger Count]])</f>
        <v>4440000</v>
      </c>
      <c r="L192" s="15">
        <f>Table242[[#This Row],[Revenue]]*(1-$Q$2)</f>
        <v>3996000</v>
      </c>
      <c r="M192" t="str">
        <f t="shared" si="2"/>
        <v>Late</v>
      </c>
      <c r="N192">
        <f>IF(Table242[[#This Row],[Performance Rating]]="On Time",1,0)</f>
        <v>0</v>
      </c>
    </row>
    <row r="193" spans="1:14" x14ac:dyDescent="0.35">
      <c r="A193" t="s">
        <v>188</v>
      </c>
      <c r="B193" t="s">
        <v>493</v>
      </c>
      <c r="C193" t="s">
        <v>586</v>
      </c>
      <c r="D193" s="2" t="s">
        <v>591</v>
      </c>
      <c r="E193" s="1" t="s">
        <v>593</v>
      </c>
      <c r="F193" s="3">
        <v>29</v>
      </c>
      <c r="G193" s="4">
        <v>50000</v>
      </c>
      <c r="H193" s="5">
        <v>178</v>
      </c>
      <c r="I193" s="6">
        <v>45668</v>
      </c>
      <c r="J193" s="2" t="s">
        <v>597</v>
      </c>
      <c r="K193" s="15">
        <f>PRODUCT(Table242[[#This Row],[Ticket Price]],Table242[[#This Row],[Passenger Count]])</f>
        <v>8900000</v>
      </c>
      <c r="L193" s="15">
        <f>Table242[[#This Row],[Revenue]]*(1-$Q$2)</f>
        <v>8010000</v>
      </c>
      <c r="M193" t="str">
        <f t="shared" si="2"/>
        <v>Slight Delay</v>
      </c>
      <c r="N193">
        <f>IF(Table242[[#This Row],[Performance Rating]]="On Time",1,0)</f>
        <v>0</v>
      </c>
    </row>
    <row r="194" spans="1:14" x14ac:dyDescent="0.35">
      <c r="A194" t="s">
        <v>189</v>
      </c>
      <c r="B194" t="s">
        <v>494</v>
      </c>
      <c r="C194" t="s">
        <v>587</v>
      </c>
      <c r="D194" s="2" t="s">
        <v>590</v>
      </c>
      <c r="E194" s="1" t="s">
        <v>595</v>
      </c>
      <c r="F194" s="3">
        <v>143</v>
      </c>
      <c r="G194" s="4">
        <v>130000</v>
      </c>
      <c r="H194" s="5">
        <v>75</v>
      </c>
      <c r="I194" s="6">
        <v>45759</v>
      </c>
      <c r="J194" s="2" t="s">
        <v>597</v>
      </c>
      <c r="K194" s="15">
        <f>PRODUCT(Table242[[#This Row],[Ticket Price]],Table242[[#This Row],[Passenger Count]])</f>
        <v>9750000</v>
      </c>
      <c r="L194" s="15">
        <f>Table242[[#This Row],[Revenue]]*(1-$Q$2)</f>
        <v>8775000</v>
      </c>
      <c r="M194" t="str">
        <f t="shared" si="2"/>
        <v>Late</v>
      </c>
      <c r="N194">
        <f>IF(Table242[[#This Row],[Performance Rating]]="On Time",1,0)</f>
        <v>0</v>
      </c>
    </row>
    <row r="195" spans="1:14" x14ac:dyDescent="0.35">
      <c r="A195" t="s">
        <v>190</v>
      </c>
      <c r="B195" t="s">
        <v>495</v>
      </c>
      <c r="C195" t="s">
        <v>582</v>
      </c>
      <c r="D195" s="2" t="s">
        <v>584</v>
      </c>
      <c r="E195" s="1" t="s">
        <v>593</v>
      </c>
      <c r="F195" s="3">
        <v>87</v>
      </c>
      <c r="G195" s="4">
        <v>40000</v>
      </c>
      <c r="H195" s="5">
        <v>162</v>
      </c>
      <c r="I195" s="6">
        <v>45785</v>
      </c>
      <c r="J195" s="2" t="s">
        <v>598</v>
      </c>
      <c r="K195" s="15">
        <f>PRODUCT(Table242[[#This Row],[Ticket Price]],Table242[[#This Row],[Passenger Count]])</f>
        <v>6480000</v>
      </c>
      <c r="L195" s="15">
        <f>Table242[[#This Row],[Revenue]]*(1-$Q$2)</f>
        <v>5832000</v>
      </c>
      <c r="M195" t="str">
        <f t="shared" ref="M195:M258" si="3">IF(F195&lt;=10,"On Time",IF(F195&lt;=30,"Slight Delay","Late"))</f>
        <v>Late</v>
      </c>
      <c r="N195">
        <f>IF(Table242[[#This Row],[Performance Rating]]="On Time",1,0)</f>
        <v>0</v>
      </c>
    </row>
    <row r="196" spans="1:14" x14ac:dyDescent="0.35">
      <c r="A196" t="s">
        <v>191</v>
      </c>
      <c r="B196" t="s">
        <v>383</v>
      </c>
      <c r="C196" t="s">
        <v>581</v>
      </c>
      <c r="D196" s="2" t="s">
        <v>582</v>
      </c>
      <c r="E196" s="1" t="s">
        <v>594</v>
      </c>
      <c r="F196" s="3">
        <v>166</v>
      </c>
      <c r="G196" s="4">
        <v>50000</v>
      </c>
      <c r="H196" s="5">
        <v>116</v>
      </c>
      <c r="I196" s="6">
        <v>45712</v>
      </c>
      <c r="J196" s="2" t="s">
        <v>598</v>
      </c>
      <c r="K196" s="15">
        <f>PRODUCT(Table242[[#This Row],[Ticket Price]],Table242[[#This Row],[Passenger Count]])</f>
        <v>5800000</v>
      </c>
      <c r="L196" s="15">
        <f>Table242[[#This Row],[Revenue]]*(1-$Q$2)</f>
        <v>5220000</v>
      </c>
      <c r="M196" t="str">
        <f t="shared" si="3"/>
        <v>Late</v>
      </c>
      <c r="N196">
        <f>IF(Table242[[#This Row],[Performance Rating]]="On Time",1,0)</f>
        <v>0</v>
      </c>
    </row>
    <row r="197" spans="1:14" x14ac:dyDescent="0.35">
      <c r="A197" t="s">
        <v>192</v>
      </c>
      <c r="B197" t="s">
        <v>496</v>
      </c>
      <c r="C197" t="s">
        <v>581</v>
      </c>
      <c r="D197" s="2" t="s">
        <v>587</v>
      </c>
      <c r="E197" s="1" t="s">
        <v>592</v>
      </c>
      <c r="F197" s="3">
        <v>165</v>
      </c>
      <c r="G197" s="4">
        <v>140000</v>
      </c>
      <c r="H197" s="5">
        <v>96</v>
      </c>
      <c r="I197" s="6">
        <v>45834</v>
      </c>
      <c r="J197" s="2" t="s">
        <v>598</v>
      </c>
      <c r="K197" s="15">
        <f>PRODUCT(Table242[[#This Row],[Ticket Price]],Table242[[#This Row],[Passenger Count]])</f>
        <v>13440000</v>
      </c>
      <c r="L197" s="15">
        <f>Table242[[#This Row],[Revenue]]*(1-$Q$2)</f>
        <v>12096000</v>
      </c>
      <c r="M197" t="str">
        <f t="shared" si="3"/>
        <v>Late</v>
      </c>
      <c r="N197">
        <f>IF(Table242[[#This Row],[Performance Rating]]="On Time",1,0)</f>
        <v>0</v>
      </c>
    </row>
    <row r="198" spans="1:14" x14ac:dyDescent="0.35">
      <c r="A198" t="s">
        <v>193</v>
      </c>
      <c r="B198" t="s">
        <v>457</v>
      </c>
      <c r="C198" t="s">
        <v>585</v>
      </c>
      <c r="D198" s="2" t="s">
        <v>582</v>
      </c>
      <c r="E198" s="1" t="s">
        <v>594</v>
      </c>
      <c r="F198" s="3">
        <v>147</v>
      </c>
      <c r="G198" s="4">
        <v>35000</v>
      </c>
      <c r="H198" s="5">
        <v>105</v>
      </c>
      <c r="I198" s="6">
        <v>45705</v>
      </c>
      <c r="J198" s="2" t="s">
        <v>597</v>
      </c>
      <c r="K198" s="15">
        <f>PRODUCT(Table242[[#This Row],[Ticket Price]],Table242[[#This Row],[Passenger Count]])</f>
        <v>3675000</v>
      </c>
      <c r="L198" s="15">
        <f>Table242[[#This Row],[Revenue]]*(1-$Q$2)</f>
        <v>3307500</v>
      </c>
      <c r="M198" t="str">
        <f t="shared" si="3"/>
        <v>Late</v>
      </c>
      <c r="N198">
        <f>IF(Table242[[#This Row],[Performance Rating]]="On Time",1,0)</f>
        <v>0</v>
      </c>
    </row>
    <row r="199" spans="1:14" x14ac:dyDescent="0.35">
      <c r="A199" t="s">
        <v>194</v>
      </c>
      <c r="B199" t="s">
        <v>497</v>
      </c>
      <c r="C199" t="s">
        <v>581</v>
      </c>
      <c r="D199" s="2" t="s">
        <v>589</v>
      </c>
      <c r="E199" s="1" t="s">
        <v>592</v>
      </c>
      <c r="F199" s="3">
        <v>16</v>
      </c>
      <c r="G199" s="4">
        <v>110000</v>
      </c>
      <c r="H199" s="5">
        <v>169</v>
      </c>
      <c r="I199" s="6">
        <v>45799</v>
      </c>
      <c r="J199" s="2" t="s">
        <v>597</v>
      </c>
      <c r="K199" s="15">
        <f>PRODUCT(Table242[[#This Row],[Ticket Price]],Table242[[#This Row],[Passenger Count]])</f>
        <v>18590000</v>
      </c>
      <c r="L199" s="15">
        <f>Table242[[#This Row],[Revenue]]*(1-$Q$2)</f>
        <v>16731000</v>
      </c>
      <c r="M199" t="str">
        <f t="shared" si="3"/>
        <v>Slight Delay</v>
      </c>
      <c r="N199">
        <f>IF(Table242[[#This Row],[Performance Rating]]="On Time",1,0)</f>
        <v>0</v>
      </c>
    </row>
    <row r="200" spans="1:14" x14ac:dyDescent="0.35">
      <c r="A200" t="s">
        <v>195</v>
      </c>
      <c r="B200" t="s">
        <v>429</v>
      </c>
      <c r="C200" t="s">
        <v>581</v>
      </c>
      <c r="D200" s="2" t="s">
        <v>585</v>
      </c>
      <c r="E200" s="1" t="s">
        <v>596</v>
      </c>
      <c r="F200" s="3">
        <v>129</v>
      </c>
      <c r="G200" s="4">
        <v>135000</v>
      </c>
      <c r="H200" s="5">
        <v>60</v>
      </c>
      <c r="I200" s="6">
        <v>45703</v>
      </c>
      <c r="J200" s="2" t="s">
        <v>598</v>
      </c>
      <c r="K200" s="15">
        <f>PRODUCT(Table242[[#This Row],[Ticket Price]],Table242[[#This Row],[Passenger Count]])</f>
        <v>8100000</v>
      </c>
      <c r="L200" s="15">
        <f>Table242[[#This Row],[Revenue]]*(1-$Q$2)</f>
        <v>7290000</v>
      </c>
      <c r="M200" t="str">
        <f t="shared" si="3"/>
        <v>Late</v>
      </c>
      <c r="N200">
        <f>IF(Table242[[#This Row],[Performance Rating]]="On Time",1,0)</f>
        <v>0</v>
      </c>
    </row>
    <row r="201" spans="1:14" x14ac:dyDescent="0.35">
      <c r="A201" t="s">
        <v>196</v>
      </c>
      <c r="B201" t="s">
        <v>498</v>
      </c>
      <c r="C201" t="s">
        <v>588</v>
      </c>
      <c r="D201" s="2" t="s">
        <v>591</v>
      </c>
      <c r="E201" s="1" t="s">
        <v>593</v>
      </c>
      <c r="F201" s="3">
        <v>130</v>
      </c>
      <c r="G201" s="4">
        <v>65000</v>
      </c>
      <c r="H201" s="5">
        <v>115</v>
      </c>
      <c r="I201" s="6">
        <v>45779</v>
      </c>
      <c r="J201" s="2" t="s">
        <v>597</v>
      </c>
      <c r="K201" s="15">
        <f>PRODUCT(Table242[[#This Row],[Ticket Price]],Table242[[#This Row],[Passenger Count]])</f>
        <v>7475000</v>
      </c>
      <c r="L201" s="15">
        <f>Table242[[#This Row],[Revenue]]*(1-$Q$2)</f>
        <v>6727500</v>
      </c>
      <c r="M201" t="str">
        <f t="shared" si="3"/>
        <v>Late</v>
      </c>
      <c r="N201">
        <f>IF(Table242[[#This Row],[Performance Rating]]="On Time",1,0)</f>
        <v>0</v>
      </c>
    </row>
    <row r="202" spans="1:14" x14ac:dyDescent="0.35">
      <c r="A202" t="s">
        <v>197</v>
      </c>
      <c r="B202" t="s">
        <v>441</v>
      </c>
      <c r="C202" t="s">
        <v>588</v>
      </c>
      <c r="D202" s="2" t="s">
        <v>583</v>
      </c>
      <c r="E202" s="1" t="s">
        <v>595</v>
      </c>
      <c r="F202" s="3">
        <v>3</v>
      </c>
      <c r="G202" s="4">
        <v>60000</v>
      </c>
      <c r="H202" s="5">
        <v>160</v>
      </c>
      <c r="I202" s="6">
        <v>45681</v>
      </c>
      <c r="J202" s="2" t="s">
        <v>598</v>
      </c>
      <c r="K202" s="15">
        <f>PRODUCT(Table242[[#This Row],[Ticket Price]],Table242[[#This Row],[Passenger Count]])</f>
        <v>9600000</v>
      </c>
      <c r="L202" s="15">
        <f>Table242[[#This Row],[Revenue]]*(1-$Q$2)</f>
        <v>8640000</v>
      </c>
      <c r="M202" t="str">
        <f t="shared" si="3"/>
        <v>On Time</v>
      </c>
      <c r="N202">
        <f>IF(Table242[[#This Row],[Performance Rating]]="On Time",1,0)</f>
        <v>1</v>
      </c>
    </row>
    <row r="203" spans="1:14" x14ac:dyDescent="0.35">
      <c r="A203" t="s">
        <v>198</v>
      </c>
      <c r="B203" t="s">
        <v>499</v>
      </c>
      <c r="C203" t="s">
        <v>586</v>
      </c>
      <c r="D203" s="2" t="s">
        <v>590</v>
      </c>
      <c r="E203" s="1" t="s">
        <v>593</v>
      </c>
      <c r="F203" s="3">
        <v>145</v>
      </c>
      <c r="G203" s="4">
        <v>25000</v>
      </c>
      <c r="H203" s="5">
        <v>152</v>
      </c>
      <c r="I203" s="6">
        <v>45736</v>
      </c>
      <c r="J203" s="2" t="s">
        <v>598</v>
      </c>
      <c r="K203" s="15">
        <f>PRODUCT(Table242[[#This Row],[Ticket Price]],Table242[[#This Row],[Passenger Count]])</f>
        <v>3800000</v>
      </c>
      <c r="L203" s="15">
        <f>Table242[[#This Row],[Revenue]]*(1-$Q$2)</f>
        <v>3420000</v>
      </c>
      <c r="M203" t="str">
        <f t="shared" si="3"/>
        <v>Late</v>
      </c>
      <c r="N203">
        <f>IF(Table242[[#This Row],[Performance Rating]]="On Time",1,0)</f>
        <v>0</v>
      </c>
    </row>
    <row r="204" spans="1:14" x14ac:dyDescent="0.35">
      <c r="A204" t="s">
        <v>199</v>
      </c>
      <c r="B204" t="s">
        <v>500</v>
      </c>
      <c r="C204" t="s">
        <v>585</v>
      </c>
      <c r="D204" s="2" t="s">
        <v>590</v>
      </c>
      <c r="E204" s="1" t="s">
        <v>594</v>
      </c>
      <c r="F204" s="3">
        <v>140</v>
      </c>
      <c r="G204" s="4">
        <v>120000</v>
      </c>
      <c r="H204" s="5">
        <v>82</v>
      </c>
      <c r="I204" s="6">
        <v>45822</v>
      </c>
      <c r="J204" s="2" t="s">
        <v>598</v>
      </c>
      <c r="K204" s="15">
        <f>PRODUCT(Table242[[#This Row],[Ticket Price]],Table242[[#This Row],[Passenger Count]])</f>
        <v>9840000</v>
      </c>
      <c r="L204" s="15">
        <f>Table242[[#This Row],[Revenue]]*(1-$Q$2)</f>
        <v>8856000</v>
      </c>
      <c r="M204" t="str">
        <f t="shared" si="3"/>
        <v>Late</v>
      </c>
      <c r="N204">
        <f>IF(Table242[[#This Row],[Performance Rating]]="On Time",1,0)</f>
        <v>0</v>
      </c>
    </row>
    <row r="205" spans="1:14" x14ac:dyDescent="0.35">
      <c r="A205" t="s">
        <v>200</v>
      </c>
      <c r="B205" t="s">
        <v>501</v>
      </c>
      <c r="C205" t="s">
        <v>586</v>
      </c>
      <c r="D205" s="2" t="s">
        <v>590</v>
      </c>
      <c r="E205" s="1" t="s">
        <v>595</v>
      </c>
      <c r="F205" s="3">
        <v>94</v>
      </c>
      <c r="G205" s="4">
        <v>85000</v>
      </c>
      <c r="H205" s="5">
        <v>116</v>
      </c>
      <c r="I205" s="6">
        <v>45801</v>
      </c>
      <c r="J205" s="2" t="s">
        <v>598</v>
      </c>
      <c r="K205" s="15">
        <f>PRODUCT(Table242[[#This Row],[Ticket Price]],Table242[[#This Row],[Passenger Count]])</f>
        <v>9860000</v>
      </c>
      <c r="L205" s="15">
        <f>Table242[[#This Row],[Revenue]]*(1-$Q$2)</f>
        <v>8874000</v>
      </c>
      <c r="M205" t="str">
        <f t="shared" si="3"/>
        <v>Late</v>
      </c>
      <c r="N205">
        <f>IF(Table242[[#This Row],[Performance Rating]]="On Time",1,0)</f>
        <v>0</v>
      </c>
    </row>
    <row r="206" spans="1:14" x14ac:dyDescent="0.35">
      <c r="A206" t="s">
        <v>201</v>
      </c>
      <c r="B206" t="s">
        <v>502</v>
      </c>
      <c r="C206" t="s">
        <v>587</v>
      </c>
      <c r="D206" s="2" t="s">
        <v>591</v>
      </c>
      <c r="E206" s="1" t="s">
        <v>594</v>
      </c>
      <c r="F206" s="3">
        <v>111</v>
      </c>
      <c r="G206" s="4">
        <v>105000</v>
      </c>
      <c r="H206" s="5">
        <v>175</v>
      </c>
      <c r="I206" s="6">
        <v>45824</v>
      </c>
      <c r="J206" s="2" t="s">
        <v>598</v>
      </c>
      <c r="K206" s="15">
        <f>PRODUCT(Table242[[#This Row],[Ticket Price]],Table242[[#This Row],[Passenger Count]])</f>
        <v>18375000</v>
      </c>
      <c r="L206" s="15">
        <f>Table242[[#This Row],[Revenue]]*(1-$Q$2)</f>
        <v>16537500</v>
      </c>
      <c r="M206" t="str">
        <f t="shared" si="3"/>
        <v>Late</v>
      </c>
      <c r="N206">
        <f>IF(Table242[[#This Row],[Performance Rating]]="On Time",1,0)</f>
        <v>0</v>
      </c>
    </row>
    <row r="207" spans="1:14" x14ac:dyDescent="0.35">
      <c r="A207" t="s">
        <v>202</v>
      </c>
      <c r="B207" t="s">
        <v>385</v>
      </c>
      <c r="C207" t="s">
        <v>588</v>
      </c>
      <c r="D207" s="2" t="s">
        <v>590</v>
      </c>
      <c r="E207" s="1" t="s">
        <v>596</v>
      </c>
      <c r="F207" s="3">
        <v>29</v>
      </c>
      <c r="G207" s="4">
        <v>30000</v>
      </c>
      <c r="H207" s="5">
        <v>126</v>
      </c>
      <c r="I207" s="6">
        <v>45826</v>
      </c>
      <c r="J207" s="2" t="s">
        <v>597</v>
      </c>
      <c r="K207" s="15">
        <f>PRODUCT(Table242[[#This Row],[Ticket Price]],Table242[[#This Row],[Passenger Count]])</f>
        <v>3780000</v>
      </c>
      <c r="L207" s="15">
        <f>Table242[[#This Row],[Revenue]]*(1-$Q$2)</f>
        <v>3402000</v>
      </c>
      <c r="M207" t="str">
        <f t="shared" si="3"/>
        <v>Slight Delay</v>
      </c>
      <c r="N207">
        <f>IF(Table242[[#This Row],[Performance Rating]]="On Time",1,0)</f>
        <v>0</v>
      </c>
    </row>
    <row r="208" spans="1:14" x14ac:dyDescent="0.35">
      <c r="A208" t="s">
        <v>203</v>
      </c>
      <c r="B208" t="s">
        <v>457</v>
      </c>
      <c r="C208" t="s">
        <v>582</v>
      </c>
      <c r="D208" s="2" t="s">
        <v>590</v>
      </c>
      <c r="E208" s="1" t="s">
        <v>593</v>
      </c>
      <c r="F208" s="3">
        <v>74</v>
      </c>
      <c r="G208" s="4">
        <v>85000</v>
      </c>
      <c r="H208" s="5">
        <v>78</v>
      </c>
      <c r="I208" s="6">
        <v>45688</v>
      </c>
      <c r="J208" s="2" t="s">
        <v>597</v>
      </c>
      <c r="K208" s="15">
        <f>PRODUCT(Table242[[#This Row],[Ticket Price]],Table242[[#This Row],[Passenger Count]])</f>
        <v>6630000</v>
      </c>
      <c r="L208" s="15">
        <f>Table242[[#This Row],[Revenue]]*(1-$Q$2)</f>
        <v>5967000</v>
      </c>
      <c r="M208" t="str">
        <f t="shared" si="3"/>
        <v>Late</v>
      </c>
      <c r="N208">
        <f>IF(Table242[[#This Row],[Performance Rating]]="On Time",1,0)</f>
        <v>0</v>
      </c>
    </row>
    <row r="209" spans="1:14" x14ac:dyDescent="0.35">
      <c r="A209" t="s">
        <v>204</v>
      </c>
      <c r="B209" t="s">
        <v>503</v>
      </c>
      <c r="C209" t="s">
        <v>582</v>
      </c>
      <c r="D209" s="2" t="s">
        <v>589</v>
      </c>
      <c r="E209" s="1" t="s">
        <v>594</v>
      </c>
      <c r="F209" s="3">
        <v>159</v>
      </c>
      <c r="G209" s="4">
        <v>145000</v>
      </c>
      <c r="H209" s="5">
        <v>125</v>
      </c>
      <c r="I209" s="6">
        <v>45675</v>
      </c>
      <c r="J209" s="2" t="s">
        <v>598</v>
      </c>
      <c r="K209" s="15">
        <f>PRODUCT(Table242[[#This Row],[Ticket Price]],Table242[[#This Row],[Passenger Count]])</f>
        <v>18125000</v>
      </c>
      <c r="L209" s="15">
        <f>Table242[[#This Row],[Revenue]]*(1-$Q$2)</f>
        <v>16312500</v>
      </c>
      <c r="M209" t="str">
        <f t="shared" si="3"/>
        <v>Late</v>
      </c>
      <c r="N209">
        <f>IF(Table242[[#This Row],[Performance Rating]]="On Time",1,0)</f>
        <v>0</v>
      </c>
    </row>
    <row r="210" spans="1:14" x14ac:dyDescent="0.35">
      <c r="A210" t="s">
        <v>205</v>
      </c>
      <c r="B210" t="s">
        <v>347</v>
      </c>
      <c r="C210" t="s">
        <v>587</v>
      </c>
      <c r="D210" s="2" t="s">
        <v>590</v>
      </c>
      <c r="E210" s="1" t="s">
        <v>594</v>
      </c>
      <c r="F210" s="3">
        <v>178</v>
      </c>
      <c r="G210" s="4">
        <v>50000</v>
      </c>
      <c r="H210" s="5">
        <v>154</v>
      </c>
      <c r="I210" s="6">
        <v>45742</v>
      </c>
      <c r="J210" s="2" t="s">
        <v>598</v>
      </c>
      <c r="K210" s="15">
        <f>PRODUCT(Table242[[#This Row],[Ticket Price]],Table242[[#This Row],[Passenger Count]])</f>
        <v>7700000</v>
      </c>
      <c r="L210" s="15">
        <f>Table242[[#This Row],[Revenue]]*(1-$Q$2)</f>
        <v>6930000</v>
      </c>
      <c r="M210" t="str">
        <f t="shared" si="3"/>
        <v>Late</v>
      </c>
      <c r="N210">
        <f>IF(Table242[[#This Row],[Performance Rating]]="On Time",1,0)</f>
        <v>0</v>
      </c>
    </row>
    <row r="211" spans="1:14" x14ac:dyDescent="0.35">
      <c r="A211" t="s">
        <v>206</v>
      </c>
      <c r="B211" t="s">
        <v>504</v>
      </c>
      <c r="C211" t="s">
        <v>588</v>
      </c>
      <c r="D211" s="2" t="s">
        <v>582</v>
      </c>
      <c r="E211" s="1" t="s">
        <v>593</v>
      </c>
      <c r="F211" s="3">
        <v>108</v>
      </c>
      <c r="G211" s="4">
        <v>125000</v>
      </c>
      <c r="H211" s="5">
        <v>170</v>
      </c>
      <c r="I211" s="6">
        <v>45773</v>
      </c>
      <c r="J211" s="2" t="s">
        <v>598</v>
      </c>
      <c r="K211" s="15">
        <f>PRODUCT(Table242[[#This Row],[Ticket Price]],Table242[[#This Row],[Passenger Count]])</f>
        <v>21250000</v>
      </c>
      <c r="L211" s="15">
        <f>Table242[[#This Row],[Revenue]]*(1-$Q$2)</f>
        <v>19125000</v>
      </c>
      <c r="M211" t="str">
        <f t="shared" si="3"/>
        <v>Late</v>
      </c>
      <c r="N211">
        <f>IF(Table242[[#This Row],[Performance Rating]]="On Time",1,0)</f>
        <v>0</v>
      </c>
    </row>
    <row r="212" spans="1:14" x14ac:dyDescent="0.35">
      <c r="A212" t="s">
        <v>207</v>
      </c>
      <c r="B212" t="s">
        <v>447</v>
      </c>
      <c r="C212" t="s">
        <v>584</v>
      </c>
      <c r="D212" s="2" t="s">
        <v>587</v>
      </c>
      <c r="E212" s="1" t="s">
        <v>594</v>
      </c>
      <c r="F212" s="3">
        <v>42</v>
      </c>
      <c r="G212" s="4">
        <v>115000</v>
      </c>
      <c r="H212" s="5">
        <v>125</v>
      </c>
      <c r="I212" s="6">
        <v>45834</v>
      </c>
      <c r="J212" s="2" t="s">
        <v>598</v>
      </c>
      <c r="K212" s="15">
        <f>PRODUCT(Table242[[#This Row],[Ticket Price]],Table242[[#This Row],[Passenger Count]])</f>
        <v>14375000</v>
      </c>
      <c r="L212" s="15">
        <f>Table242[[#This Row],[Revenue]]*(1-$Q$2)</f>
        <v>12937500</v>
      </c>
      <c r="M212" t="str">
        <f t="shared" si="3"/>
        <v>Late</v>
      </c>
      <c r="N212">
        <f>IF(Table242[[#This Row],[Performance Rating]]="On Time",1,0)</f>
        <v>0</v>
      </c>
    </row>
    <row r="213" spans="1:14" x14ac:dyDescent="0.35">
      <c r="A213" t="s">
        <v>208</v>
      </c>
      <c r="B213" t="s">
        <v>505</v>
      </c>
      <c r="C213" t="s">
        <v>581</v>
      </c>
      <c r="D213" s="2" t="s">
        <v>585</v>
      </c>
      <c r="E213" s="1" t="s">
        <v>595</v>
      </c>
      <c r="F213" s="3">
        <v>26</v>
      </c>
      <c r="G213" s="4">
        <v>50000</v>
      </c>
      <c r="H213" s="5">
        <v>73</v>
      </c>
      <c r="I213" s="6">
        <v>45673</v>
      </c>
      <c r="J213" s="2" t="s">
        <v>597</v>
      </c>
      <c r="K213" s="15">
        <f>PRODUCT(Table242[[#This Row],[Ticket Price]],Table242[[#This Row],[Passenger Count]])</f>
        <v>3650000</v>
      </c>
      <c r="L213" s="15">
        <f>Table242[[#This Row],[Revenue]]*(1-$Q$2)</f>
        <v>3285000</v>
      </c>
      <c r="M213" t="str">
        <f t="shared" si="3"/>
        <v>Slight Delay</v>
      </c>
      <c r="N213">
        <f>IF(Table242[[#This Row],[Performance Rating]]="On Time",1,0)</f>
        <v>0</v>
      </c>
    </row>
    <row r="214" spans="1:14" x14ac:dyDescent="0.35">
      <c r="A214" t="s">
        <v>209</v>
      </c>
      <c r="B214" t="s">
        <v>506</v>
      </c>
      <c r="C214" t="s">
        <v>581</v>
      </c>
      <c r="D214" s="2" t="s">
        <v>591</v>
      </c>
      <c r="E214" s="1" t="s">
        <v>593</v>
      </c>
      <c r="F214" s="3">
        <v>82</v>
      </c>
      <c r="G214" s="4">
        <v>55000</v>
      </c>
      <c r="H214" s="5">
        <v>171</v>
      </c>
      <c r="I214" s="6">
        <v>45820</v>
      </c>
      <c r="J214" s="2" t="s">
        <v>597</v>
      </c>
      <c r="K214" s="15">
        <f>PRODUCT(Table242[[#This Row],[Ticket Price]],Table242[[#This Row],[Passenger Count]])</f>
        <v>9405000</v>
      </c>
      <c r="L214" s="15">
        <f>Table242[[#This Row],[Revenue]]*(1-$Q$2)</f>
        <v>8464500</v>
      </c>
      <c r="M214" t="str">
        <f t="shared" si="3"/>
        <v>Late</v>
      </c>
      <c r="N214">
        <f>IF(Table242[[#This Row],[Performance Rating]]="On Time",1,0)</f>
        <v>0</v>
      </c>
    </row>
    <row r="215" spans="1:14" x14ac:dyDescent="0.35">
      <c r="A215" t="s">
        <v>210</v>
      </c>
      <c r="B215" t="s">
        <v>507</v>
      </c>
      <c r="C215" t="s">
        <v>583</v>
      </c>
      <c r="D215" s="2" t="s">
        <v>584</v>
      </c>
      <c r="E215" s="1" t="s">
        <v>593</v>
      </c>
      <c r="F215" s="3">
        <v>149</v>
      </c>
      <c r="G215" s="4">
        <v>140000</v>
      </c>
      <c r="H215" s="5">
        <v>148</v>
      </c>
      <c r="I215" s="6">
        <v>45801</v>
      </c>
      <c r="J215" s="2" t="s">
        <v>598</v>
      </c>
      <c r="K215" s="15">
        <f>PRODUCT(Table242[[#This Row],[Ticket Price]],Table242[[#This Row],[Passenger Count]])</f>
        <v>20720000</v>
      </c>
      <c r="L215" s="15">
        <f>Table242[[#This Row],[Revenue]]*(1-$Q$2)</f>
        <v>18648000</v>
      </c>
      <c r="M215" t="str">
        <f t="shared" si="3"/>
        <v>Late</v>
      </c>
      <c r="N215">
        <f>IF(Table242[[#This Row],[Performance Rating]]="On Time",1,0)</f>
        <v>0</v>
      </c>
    </row>
    <row r="216" spans="1:14" x14ac:dyDescent="0.35">
      <c r="A216" t="s">
        <v>211</v>
      </c>
      <c r="B216" t="s">
        <v>508</v>
      </c>
      <c r="C216" t="s">
        <v>586</v>
      </c>
      <c r="D216" s="2" t="s">
        <v>582</v>
      </c>
      <c r="E216" s="1" t="s">
        <v>596</v>
      </c>
      <c r="F216" s="3">
        <v>8</v>
      </c>
      <c r="G216" s="4">
        <v>65000</v>
      </c>
      <c r="H216" s="5">
        <v>90</v>
      </c>
      <c r="I216" s="6">
        <v>45736</v>
      </c>
      <c r="J216" s="2" t="s">
        <v>597</v>
      </c>
      <c r="K216" s="15">
        <f>PRODUCT(Table242[[#This Row],[Ticket Price]],Table242[[#This Row],[Passenger Count]])</f>
        <v>5850000</v>
      </c>
      <c r="L216" s="15">
        <f>Table242[[#This Row],[Revenue]]*(1-$Q$2)</f>
        <v>5265000</v>
      </c>
      <c r="M216" t="str">
        <f t="shared" si="3"/>
        <v>On Time</v>
      </c>
      <c r="N216">
        <f>IF(Table242[[#This Row],[Performance Rating]]="On Time",1,0)</f>
        <v>1</v>
      </c>
    </row>
    <row r="217" spans="1:14" x14ac:dyDescent="0.35">
      <c r="A217" t="s">
        <v>212</v>
      </c>
      <c r="B217" t="s">
        <v>509</v>
      </c>
      <c r="C217" t="s">
        <v>587</v>
      </c>
      <c r="D217" s="2" t="s">
        <v>590</v>
      </c>
      <c r="E217" s="1" t="s">
        <v>593</v>
      </c>
      <c r="F217" s="3">
        <v>19</v>
      </c>
      <c r="G217" s="4">
        <v>105000</v>
      </c>
      <c r="H217" s="5">
        <v>118</v>
      </c>
      <c r="I217" s="6">
        <v>45731</v>
      </c>
      <c r="J217" s="2" t="s">
        <v>597</v>
      </c>
      <c r="K217" s="15">
        <f>PRODUCT(Table242[[#This Row],[Ticket Price]],Table242[[#This Row],[Passenger Count]])</f>
        <v>12390000</v>
      </c>
      <c r="L217" s="15">
        <f>Table242[[#This Row],[Revenue]]*(1-$Q$2)</f>
        <v>11151000</v>
      </c>
      <c r="M217" t="str">
        <f t="shared" si="3"/>
        <v>Slight Delay</v>
      </c>
      <c r="N217">
        <f>IF(Table242[[#This Row],[Performance Rating]]="On Time",1,0)</f>
        <v>0</v>
      </c>
    </row>
    <row r="218" spans="1:14" x14ac:dyDescent="0.35">
      <c r="A218" t="s">
        <v>213</v>
      </c>
      <c r="B218" t="s">
        <v>510</v>
      </c>
      <c r="C218" t="s">
        <v>583</v>
      </c>
      <c r="D218" s="2" t="s">
        <v>587</v>
      </c>
      <c r="E218" s="1" t="s">
        <v>596</v>
      </c>
      <c r="F218" s="3">
        <v>57</v>
      </c>
      <c r="G218" s="4">
        <v>35000</v>
      </c>
      <c r="H218" s="5">
        <v>134</v>
      </c>
      <c r="I218" s="6">
        <v>45767</v>
      </c>
      <c r="J218" s="2" t="s">
        <v>597</v>
      </c>
      <c r="K218" s="15">
        <f>PRODUCT(Table242[[#This Row],[Ticket Price]],Table242[[#This Row],[Passenger Count]])</f>
        <v>4690000</v>
      </c>
      <c r="L218" s="15">
        <f>Table242[[#This Row],[Revenue]]*(1-$Q$2)</f>
        <v>4221000</v>
      </c>
      <c r="M218" t="str">
        <f t="shared" si="3"/>
        <v>Late</v>
      </c>
      <c r="N218">
        <f>IF(Table242[[#This Row],[Performance Rating]]="On Time",1,0)</f>
        <v>0</v>
      </c>
    </row>
    <row r="219" spans="1:14" x14ac:dyDescent="0.35">
      <c r="A219" t="s">
        <v>214</v>
      </c>
      <c r="B219" t="s">
        <v>352</v>
      </c>
      <c r="C219" t="s">
        <v>582</v>
      </c>
      <c r="D219" s="2" t="s">
        <v>585</v>
      </c>
      <c r="E219" s="1" t="s">
        <v>596</v>
      </c>
      <c r="F219" s="3">
        <v>12</v>
      </c>
      <c r="G219" s="4">
        <v>120000</v>
      </c>
      <c r="H219" s="5">
        <v>80</v>
      </c>
      <c r="I219" s="6">
        <v>45743</v>
      </c>
      <c r="J219" s="2" t="s">
        <v>597</v>
      </c>
      <c r="K219" s="15">
        <f>PRODUCT(Table242[[#This Row],[Ticket Price]],Table242[[#This Row],[Passenger Count]])</f>
        <v>9600000</v>
      </c>
      <c r="L219" s="15">
        <f>Table242[[#This Row],[Revenue]]*(1-$Q$2)</f>
        <v>8640000</v>
      </c>
      <c r="M219" t="str">
        <f t="shared" si="3"/>
        <v>Slight Delay</v>
      </c>
      <c r="N219">
        <f>IF(Table242[[#This Row],[Performance Rating]]="On Time",1,0)</f>
        <v>0</v>
      </c>
    </row>
    <row r="220" spans="1:14" x14ac:dyDescent="0.35">
      <c r="A220" t="s">
        <v>215</v>
      </c>
      <c r="B220" t="s">
        <v>511</v>
      </c>
      <c r="C220" t="s">
        <v>588</v>
      </c>
      <c r="D220" s="2" t="s">
        <v>589</v>
      </c>
      <c r="E220" s="1" t="s">
        <v>594</v>
      </c>
      <c r="F220" s="3">
        <v>86</v>
      </c>
      <c r="G220" s="4">
        <v>95000</v>
      </c>
      <c r="H220" s="5">
        <v>170</v>
      </c>
      <c r="I220" s="6">
        <v>45747</v>
      </c>
      <c r="J220" s="2" t="s">
        <v>597</v>
      </c>
      <c r="K220" s="15">
        <f>PRODUCT(Table242[[#This Row],[Ticket Price]],Table242[[#This Row],[Passenger Count]])</f>
        <v>16150000</v>
      </c>
      <c r="L220" s="15">
        <f>Table242[[#This Row],[Revenue]]*(1-$Q$2)</f>
        <v>14535000</v>
      </c>
      <c r="M220" t="str">
        <f t="shared" si="3"/>
        <v>Late</v>
      </c>
      <c r="N220">
        <f>IF(Table242[[#This Row],[Performance Rating]]="On Time",1,0)</f>
        <v>0</v>
      </c>
    </row>
    <row r="221" spans="1:14" x14ac:dyDescent="0.35">
      <c r="A221" t="s">
        <v>216</v>
      </c>
      <c r="B221" t="s">
        <v>512</v>
      </c>
      <c r="C221" t="s">
        <v>582</v>
      </c>
      <c r="D221" s="2" t="s">
        <v>585</v>
      </c>
      <c r="E221" s="1" t="s">
        <v>596</v>
      </c>
      <c r="F221" s="3">
        <v>126</v>
      </c>
      <c r="G221" s="4">
        <v>105000</v>
      </c>
      <c r="H221" s="5">
        <v>140</v>
      </c>
      <c r="I221" s="6">
        <v>45798</v>
      </c>
      <c r="J221" s="2" t="s">
        <v>597</v>
      </c>
      <c r="K221" s="15">
        <f>PRODUCT(Table242[[#This Row],[Ticket Price]],Table242[[#This Row],[Passenger Count]])</f>
        <v>14700000</v>
      </c>
      <c r="L221" s="15">
        <f>Table242[[#This Row],[Revenue]]*(1-$Q$2)</f>
        <v>13230000</v>
      </c>
      <c r="M221" t="str">
        <f t="shared" si="3"/>
        <v>Late</v>
      </c>
      <c r="N221">
        <f>IF(Table242[[#This Row],[Performance Rating]]="On Time",1,0)</f>
        <v>0</v>
      </c>
    </row>
    <row r="222" spans="1:14" x14ac:dyDescent="0.35">
      <c r="A222" t="s">
        <v>217</v>
      </c>
      <c r="B222" t="s">
        <v>513</v>
      </c>
      <c r="C222" t="s">
        <v>587</v>
      </c>
      <c r="D222" s="2" t="s">
        <v>591</v>
      </c>
      <c r="E222" s="1" t="s">
        <v>592</v>
      </c>
      <c r="F222" s="3">
        <v>180</v>
      </c>
      <c r="G222" s="4">
        <v>110000</v>
      </c>
      <c r="H222" s="5">
        <v>153</v>
      </c>
      <c r="I222" s="6">
        <v>45740</v>
      </c>
      <c r="J222" s="2" t="s">
        <v>597</v>
      </c>
      <c r="K222" s="15">
        <f>PRODUCT(Table242[[#This Row],[Ticket Price]],Table242[[#This Row],[Passenger Count]])</f>
        <v>16830000</v>
      </c>
      <c r="L222" s="15">
        <f>Table242[[#This Row],[Revenue]]*(1-$Q$2)</f>
        <v>15147000</v>
      </c>
      <c r="M222" t="str">
        <f t="shared" si="3"/>
        <v>Late</v>
      </c>
      <c r="N222">
        <f>IF(Table242[[#This Row],[Performance Rating]]="On Time",1,0)</f>
        <v>0</v>
      </c>
    </row>
    <row r="223" spans="1:14" x14ac:dyDescent="0.35">
      <c r="A223" t="s">
        <v>218</v>
      </c>
      <c r="B223" t="s">
        <v>510</v>
      </c>
      <c r="C223" t="s">
        <v>582</v>
      </c>
      <c r="D223" s="2" t="s">
        <v>587</v>
      </c>
      <c r="E223" s="1" t="s">
        <v>593</v>
      </c>
      <c r="F223" s="3">
        <v>117</v>
      </c>
      <c r="G223" s="4">
        <v>90000</v>
      </c>
      <c r="H223" s="5">
        <v>71</v>
      </c>
      <c r="I223" s="6">
        <v>45781</v>
      </c>
      <c r="J223" s="2" t="s">
        <v>597</v>
      </c>
      <c r="K223" s="15">
        <f>PRODUCT(Table242[[#This Row],[Ticket Price]],Table242[[#This Row],[Passenger Count]])</f>
        <v>6390000</v>
      </c>
      <c r="L223" s="15">
        <f>Table242[[#This Row],[Revenue]]*(1-$Q$2)</f>
        <v>5751000</v>
      </c>
      <c r="M223" t="str">
        <f t="shared" si="3"/>
        <v>Late</v>
      </c>
      <c r="N223">
        <f>IF(Table242[[#This Row],[Performance Rating]]="On Time",1,0)</f>
        <v>0</v>
      </c>
    </row>
    <row r="224" spans="1:14" x14ac:dyDescent="0.35">
      <c r="A224" t="s">
        <v>219</v>
      </c>
      <c r="B224" t="s">
        <v>514</v>
      </c>
      <c r="C224" t="s">
        <v>588</v>
      </c>
      <c r="D224" s="2" t="s">
        <v>583</v>
      </c>
      <c r="E224" s="1" t="s">
        <v>594</v>
      </c>
      <c r="F224" s="3">
        <v>172</v>
      </c>
      <c r="G224" s="4">
        <v>50000</v>
      </c>
      <c r="H224" s="5">
        <v>149</v>
      </c>
      <c r="I224" s="6">
        <v>45827</v>
      </c>
      <c r="J224" s="2" t="s">
        <v>598</v>
      </c>
      <c r="K224" s="15">
        <f>PRODUCT(Table242[[#This Row],[Ticket Price]],Table242[[#This Row],[Passenger Count]])</f>
        <v>7450000</v>
      </c>
      <c r="L224" s="15">
        <f>Table242[[#This Row],[Revenue]]*(1-$Q$2)</f>
        <v>6705000</v>
      </c>
      <c r="M224" t="str">
        <f t="shared" si="3"/>
        <v>Late</v>
      </c>
      <c r="N224">
        <f>IF(Table242[[#This Row],[Performance Rating]]="On Time",1,0)</f>
        <v>0</v>
      </c>
    </row>
    <row r="225" spans="1:14" x14ac:dyDescent="0.35">
      <c r="A225" t="s">
        <v>220</v>
      </c>
      <c r="B225" t="s">
        <v>399</v>
      </c>
      <c r="C225" t="s">
        <v>588</v>
      </c>
      <c r="D225" s="2" t="s">
        <v>589</v>
      </c>
      <c r="E225" s="1" t="s">
        <v>596</v>
      </c>
      <c r="F225" s="3">
        <v>-3</v>
      </c>
      <c r="G225" s="4">
        <v>125000</v>
      </c>
      <c r="H225" s="5">
        <v>94</v>
      </c>
      <c r="I225" s="6">
        <v>45803</v>
      </c>
      <c r="J225" s="2" t="s">
        <v>597</v>
      </c>
      <c r="K225" s="15">
        <f>PRODUCT(Table242[[#This Row],[Ticket Price]],Table242[[#This Row],[Passenger Count]])</f>
        <v>11750000</v>
      </c>
      <c r="L225" s="15">
        <f>Table242[[#This Row],[Revenue]]*(1-$Q$2)</f>
        <v>10575000</v>
      </c>
      <c r="M225" t="str">
        <f t="shared" si="3"/>
        <v>On Time</v>
      </c>
      <c r="N225">
        <f>IF(Table242[[#This Row],[Performance Rating]]="On Time",1,0)</f>
        <v>1</v>
      </c>
    </row>
    <row r="226" spans="1:14" x14ac:dyDescent="0.35">
      <c r="A226" t="s">
        <v>221</v>
      </c>
      <c r="B226" t="s">
        <v>515</v>
      </c>
      <c r="C226" t="s">
        <v>581</v>
      </c>
      <c r="D226" s="2" t="s">
        <v>590</v>
      </c>
      <c r="E226" s="1" t="s">
        <v>595</v>
      </c>
      <c r="F226" s="3">
        <v>50</v>
      </c>
      <c r="G226" s="4">
        <v>105000</v>
      </c>
      <c r="H226" s="5">
        <v>87</v>
      </c>
      <c r="I226" s="6">
        <v>45678</v>
      </c>
      <c r="J226" s="2" t="s">
        <v>598</v>
      </c>
      <c r="K226" s="15">
        <f>PRODUCT(Table242[[#This Row],[Ticket Price]],Table242[[#This Row],[Passenger Count]])</f>
        <v>9135000</v>
      </c>
      <c r="L226" s="15">
        <f>Table242[[#This Row],[Revenue]]*(1-$Q$2)</f>
        <v>8221500</v>
      </c>
      <c r="M226" t="str">
        <f t="shared" si="3"/>
        <v>Late</v>
      </c>
      <c r="N226">
        <f>IF(Table242[[#This Row],[Performance Rating]]="On Time",1,0)</f>
        <v>0</v>
      </c>
    </row>
    <row r="227" spans="1:14" x14ac:dyDescent="0.35">
      <c r="A227" t="s">
        <v>222</v>
      </c>
      <c r="B227" t="s">
        <v>516</v>
      </c>
      <c r="C227" t="s">
        <v>586</v>
      </c>
      <c r="D227" s="2" t="s">
        <v>591</v>
      </c>
      <c r="E227" s="1" t="s">
        <v>592</v>
      </c>
      <c r="F227" s="3">
        <v>-2</v>
      </c>
      <c r="G227" s="4">
        <v>90000</v>
      </c>
      <c r="H227" s="5">
        <v>130</v>
      </c>
      <c r="I227" s="6">
        <v>45688</v>
      </c>
      <c r="J227" s="2" t="s">
        <v>598</v>
      </c>
      <c r="K227" s="15">
        <f>PRODUCT(Table242[[#This Row],[Ticket Price]],Table242[[#This Row],[Passenger Count]])</f>
        <v>11700000</v>
      </c>
      <c r="L227" s="15">
        <f>Table242[[#This Row],[Revenue]]*(1-$Q$2)</f>
        <v>10530000</v>
      </c>
      <c r="M227" t="str">
        <f t="shared" si="3"/>
        <v>On Time</v>
      </c>
      <c r="N227">
        <f>IF(Table242[[#This Row],[Performance Rating]]="On Time",1,0)</f>
        <v>1</v>
      </c>
    </row>
    <row r="228" spans="1:14" x14ac:dyDescent="0.35">
      <c r="A228" t="s">
        <v>223</v>
      </c>
      <c r="B228" t="s">
        <v>432</v>
      </c>
      <c r="C228" t="s">
        <v>583</v>
      </c>
      <c r="D228" s="2" t="s">
        <v>590</v>
      </c>
      <c r="E228" s="1" t="s">
        <v>595</v>
      </c>
      <c r="F228" s="3">
        <v>147</v>
      </c>
      <c r="G228" s="4">
        <v>85000</v>
      </c>
      <c r="H228" s="5">
        <v>110</v>
      </c>
      <c r="I228" s="6">
        <v>45673</v>
      </c>
      <c r="J228" s="2" t="s">
        <v>598</v>
      </c>
      <c r="K228" s="15">
        <f>PRODUCT(Table242[[#This Row],[Ticket Price]],Table242[[#This Row],[Passenger Count]])</f>
        <v>9350000</v>
      </c>
      <c r="L228" s="15">
        <f>Table242[[#This Row],[Revenue]]*(1-$Q$2)</f>
        <v>8415000</v>
      </c>
      <c r="M228" t="str">
        <f t="shared" si="3"/>
        <v>Late</v>
      </c>
      <c r="N228">
        <f>IF(Table242[[#This Row],[Performance Rating]]="On Time",1,0)</f>
        <v>0</v>
      </c>
    </row>
    <row r="229" spans="1:14" x14ac:dyDescent="0.35">
      <c r="A229" t="s">
        <v>224</v>
      </c>
      <c r="B229" t="s">
        <v>425</v>
      </c>
      <c r="C229" t="s">
        <v>581</v>
      </c>
      <c r="D229" s="2" t="s">
        <v>583</v>
      </c>
      <c r="E229" s="1" t="s">
        <v>594</v>
      </c>
      <c r="F229" s="3">
        <v>76</v>
      </c>
      <c r="G229" s="4">
        <v>60000</v>
      </c>
      <c r="H229" s="5">
        <v>156</v>
      </c>
      <c r="I229" s="6">
        <v>45750</v>
      </c>
      <c r="J229" s="2" t="s">
        <v>597</v>
      </c>
      <c r="K229" s="15">
        <f>PRODUCT(Table242[[#This Row],[Ticket Price]],Table242[[#This Row],[Passenger Count]])</f>
        <v>9360000</v>
      </c>
      <c r="L229" s="15">
        <f>Table242[[#This Row],[Revenue]]*(1-$Q$2)</f>
        <v>8424000</v>
      </c>
      <c r="M229" t="str">
        <f t="shared" si="3"/>
        <v>Late</v>
      </c>
      <c r="N229">
        <f>IF(Table242[[#This Row],[Performance Rating]]="On Time",1,0)</f>
        <v>0</v>
      </c>
    </row>
    <row r="230" spans="1:14" x14ac:dyDescent="0.35">
      <c r="A230" t="s">
        <v>225</v>
      </c>
      <c r="B230" t="s">
        <v>439</v>
      </c>
      <c r="C230" t="s">
        <v>585</v>
      </c>
      <c r="D230" s="2" t="s">
        <v>589</v>
      </c>
      <c r="E230" s="1" t="s">
        <v>596</v>
      </c>
      <c r="F230" s="3">
        <v>118</v>
      </c>
      <c r="G230" s="4">
        <v>60000</v>
      </c>
      <c r="H230" s="5">
        <v>63</v>
      </c>
      <c r="I230" s="6">
        <v>45804</v>
      </c>
      <c r="J230" s="2" t="s">
        <v>598</v>
      </c>
      <c r="K230" s="15">
        <f>PRODUCT(Table242[[#This Row],[Ticket Price]],Table242[[#This Row],[Passenger Count]])</f>
        <v>3780000</v>
      </c>
      <c r="L230" s="15">
        <f>Table242[[#This Row],[Revenue]]*(1-$Q$2)</f>
        <v>3402000</v>
      </c>
      <c r="M230" t="str">
        <f t="shared" si="3"/>
        <v>Late</v>
      </c>
      <c r="N230">
        <f>IF(Table242[[#This Row],[Performance Rating]]="On Time",1,0)</f>
        <v>0</v>
      </c>
    </row>
    <row r="231" spans="1:14" x14ac:dyDescent="0.35">
      <c r="A231" t="s">
        <v>226</v>
      </c>
      <c r="B231" t="s">
        <v>517</v>
      </c>
      <c r="C231" t="s">
        <v>587</v>
      </c>
      <c r="D231" s="2" t="s">
        <v>591</v>
      </c>
      <c r="E231" s="1" t="s">
        <v>594</v>
      </c>
      <c r="F231" s="3">
        <v>132</v>
      </c>
      <c r="G231" s="4">
        <v>105000</v>
      </c>
      <c r="H231" s="5">
        <v>148</v>
      </c>
      <c r="I231" s="6">
        <v>45704</v>
      </c>
      <c r="J231" s="2" t="s">
        <v>598</v>
      </c>
      <c r="K231" s="15">
        <f>PRODUCT(Table242[[#This Row],[Ticket Price]],Table242[[#This Row],[Passenger Count]])</f>
        <v>15540000</v>
      </c>
      <c r="L231" s="15">
        <f>Table242[[#This Row],[Revenue]]*(1-$Q$2)</f>
        <v>13986000</v>
      </c>
      <c r="M231" t="str">
        <f t="shared" si="3"/>
        <v>Late</v>
      </c>
      <c r="N231">
        <f>IF(Table242[[#This Row],[Performance Rating]]="On Time",1,0)</f>
        <v>0</v>
      </c>
    </row>
    <row r="232" spans="1:14" x14ac:dyDescent="0.35">
      <c r="A232" t="s">
        <v>227</v>
      </c>
      <c r="B232" t="s">
        <v>436</v>
      </c>
      <c r="C232" t="s">
        <v>583</v>
      </c>
      <c r="D232" s="2" t="s">
        <v>587</v>
      </c>
      <c r="E232" s="1" t="s">
        <v>592</v>
      </c>
      <c r="F232" s="3">
        <v>86</v>
      </c>
      <c r="G232" s="4">
        <v>110000</v>
      </c>
      <c r="H232" s="5">
        <v>168</v>
      </c>
      <c r="I232" s="6">
        <v>45782</v>
      </c>
      <c r="J232" s="2" t="s">
        <v>597</v>
      </c>
      <c r="K232" s="15">
        <f>PRODUCT(Table242[[#This Row],[Ticket Price]],Table242[[#This Row],[Passenger Count]])</f>
        <v>18480000</v>
      </c>
      <c r="L232" s="15">
        <f>Table242[[#This Row],[Revenue]]*(1-$Q$2)</f>
        <v>16632000</v>
      </c>
      <c r="M232" t="str">
        <f t="shared" si="3"/>
        <v>Late</v>
      </c>
      <c r="N232">
        <f>IF(Table242[[#This Row],[Performance Rating]]="On Time",1,0)</f>
        <v>0</v>
      </c>
    </row>
    <row r="233" spans="1:14" x14ac:dyDescent="0.35">
      <c r="A233" t="s">
        <v>228</v>
      </c>
      <c r="B233" t="s">
        <v>518</v>
      </c>
      <c r="C233" t="s">
        <v>581</v>
      </c>
      <c r="D233" s="2" t="s">
        <v>591</v>
      </c>
      <c r="E233" s="1" t="s">
        <v>596</v>
      </c>
      <c r="F233" s="3">
        <v>107</v>
      </c>
      <c r="G233" s="4">
        <v>150000</v>
      </c>
      <c r="H233" s="5">
        <v>73</v>
      </c>
      <c r="I233" s="6">
        <v>45821</v>
      </c>
      <c r="J233" s="2" t="s">
        <v>597</v>
      </c>
      <c r="K233" s="15">
        <f>PRODUCT(Table242[[#This Row],[Ticket Price]],Table242[[#This Row],[Passenger Count]])</f>
        <v>10950000</v>
      </c>
      <c r="L233" s="15">
        <f>Table242[[#This Row],[Revenue]]*(1-$Q$2)</f>
        <v>9855000</v>
      </c>
      <c r="M233" t="str">
        <f t="shared" si="3"/>
        <v>Late</v>
      </c>
      <c r="N233">
        <f>IF(Table242[[#This Row],[Performance Rating]]="On Time",1,0)</f>
        <v>0</v>
      </c>
    </row>
    <row r="234" spans="1:14" x14ac:dyDescent="0.35">
      <c r="A234" t="s">
        <v>229</v>
      </c>
      <c r="B234" t="s">
        <v>444</v>
      </c>
      <c r="C234" t="s">
        <v>585</v>
      </c>
      <c r="D234" s="2" t="s">
        <v>590</v>
      </c>
      <c r="E234" s="1" t="s">
        <v>593</v>
      </c>
      <c r="F234" s="3">
        <v>153</v>
      </c>
      <c r="G234" s="4">
        <v>110000</v>
      </c>
      <c r="H234" s="5">
        <v>169</v>
      </c>
      <c r="I234" s="6">
        <v>45727</v>
      </c>
      <c r="J234" s="2" t="s">
        <v>598</v>
      </c>
      <c r="K234" s="15">
        <f>PRODUCT(Table242[[#This Row],[Ticket Price]],Table242[[#This Row],[Passenger Count]])</f>
        <v>18590000</v>
      </c>
      <c r="L234" s="15">
        <f>Table242[[#This Row],[Revenue]]*(1-$Q$2)</f>
        <v>16731000</v>
      </c>
      <c r="M234" t="str">
        <f t="shared" si="3"/>
        <v>Late</v>
      </c>
      <c r="N234">
        <f>IF(Table242[[#This Row],[Performance Rating]]="On Time",1,0)</f>
        <v>0</v>
      </c>
    </row>
    <row r="235" spans="1:14" x14ac:dyDescent="0.35">
      <c r="A235" t="s">
        <v>230</v>
      </c>
      <c r="B235" t="s">
        <v>386</v>
      </c>
      <c r="C235" t="s">
        <v>584</v>
      </c>
      <c r="D235" s="2" t="s">
        <v>590</v>
      </c>
      <c r="E235" s="1" t="s">
        <v>593</v>
      </c>
      <c r="F235" s="3">
        <v>33</v>
      </c>
      <c r="G235" s="4">
        <v>50000</v>
      </c>
      <c r="H235" s="5">
        <v>118</v>
      </c>
      <c r="I235" s="6">
        <v>45828</v>
      </c>
      <c r="J235" s="2" t="s">
        <v>597</v>
      </c>
      <c r="K235" s="15">
        <f>PRODUCT(Table242[[#This Row],[Ticket Price]],Table242[[#This Row],[Passenger Count]])</f>
        <v>5900000</v>
      </c>
      <c r="L235" s="15">
        <f>Table242[[#This Row],[Revenue]]*(1-$Q$2)</f>
        <v>5310000</v>
      </c>
      <c r="M235" t="str">
        <f t="shared" si="3"/>
        <v>Late</v>
      </c>
      <c r="N235">
        <f>IF(Table242[[#This Row],[Performance Rating]]="On Time",1,0)</f>
        <v>0</v>
      </c>
    </row>
    <row r="236" spans="1:14" x14ac:dyDescent="0.35">
      <c r="A236" t="s">
        <v>231</v>
      </c>
      <c r="B236" t="s">
        <v>519</v>
      </c>
      <c r="C236" t="s">
        <v>583</v>
      </c>
      <c r="D236" s="2" t="s">
        <v>590</v>
      </c>
      <c r="E236" s="1" t="s">
        <v>595</v>
      </c>
      <c r="F236" s="3">
        <v>180</v>
      </c>
      <c r="G236" s="4">
        <v>130000</v>
      </c>
      <c r="H236" s="5">
        <v>109</v>
      </c>
      <c r="I236" s="6">
        <v>45802</v>
      </c>
      <c r="J236" s="2" t="s">
        <v>597</v>
      </c>
      <c r="K236" s="15">
        <f>PRODUCT(Table242[[#This Row],[Ticket Price]],Table242[[#This Row],[Passenger Count]])</f>
        <v>14170000</v>
      </c>
      <c r="L236" s="15">
        <f>Table242[[#This Row],[Revenue]]*(1-$Q$2)</f>
        <v>12753000</v>
      </c>
      <c r="M236" t="str">
        <f t="shared" si="3"/>
        <v>Late</v>
      </c>
      <c r="N236">
        <f>IF(Table242[[#This Row],[Performance Rating]]="On Time",1,0)</f>
        <v>0</v>
      </c>
    </row>
    <row r="237" spans="1:14" x14ac:dyDescent="0.35">
      <c r="A237" t="s">
        <v>232</v>
      </c>
      <c r="B237" t="s">
        <v>520</v>
      </c>
      <c r="C237" t="s">
        <v>581</v>
      </c>
      <c r="D237" s="2" t="s">
        <v>583</v>
      </c>
      <c r="E237" s="1" t="s">
        <v>596</v>
      </c>
      <c r="F237" s="3">
        <v>25</v>
      </c>
      <c r="G237" s="4">
        <v>105000</v>
      </c>
      <c r="H237" s="5">
        <v>114</v>
      </c>
      <c r="I237" s="6">
        <v>45787</v>
      </c>
      <c r="J237" s="2" t="s">
        <v>598</v>
      </c>
      <c r="K237" s="15">
        <f>PRODUCT(Table242[[#This Row],[Ticket Price]],Table242[[#This Row],[Passenger Count]])</f>
        <v>11970000</v>
      </c>
      <c r="L237" s="15">
        <f>Table242[[#This Row],[Revenue]]*(1-$Q$2)</f>
        <v>10773000</v>
      </c>
      <c r="M237" t="str">
        <f t="shared" si="3"/>
        <v>Slight Delay</v>
      </c>
      <c r="N237">
        <f>IF(Table242[[#This Row],[Performance Rating]]="On Time",1,0)</f>
        <v>0</v>
      </c>
    </row>
    <row r="238" spans="1:14" x14ac:dyDescent="0.35">
      <c r="A238" t="s">
        <v>233</v>
      </c>
      <c r="B238" t="s">
        <v>521</v>
      </c>
      <c r="C238" t="s">
        <v>586</v>
      </c>
      <c r="D238" s="2" t="s">
        <v>582</v>
      </c>
      <c r="E238" s="1" t="s">
        <v>592</v>
      </c>
      <c r="F238" s="3">
        <v>-2</v>
      </c>
      <c r="G238" s="4">
        <v>85000</v>
      </c>
      <c r="H238" s="5">
        <v>71</v>
      </c>
      <c r="I238" s="6">
        <v>45687</v>
      </c>
      <c r="J238" s="2" t="s">
        <v>597</v>
      </c>
      <c r="K238" s="15">
        <f>PRODUCT(Table242[[#This Row],[Ticket Price]],Table242[[#This Row],[Passenger Count]])</f>
        <v>6035000</v>
      </c>
      <c r="L238" s="15">
        <f>Table242[[#This Row],[Revenue]]*(1-$Q$2)</f>
        <v>5431500</v>
      </c>
      <c r="M238" t="str">
        <f t="shared" si="3"/>
        <v>On Time</v>
      </c>
      <c r="N238">
        <f>IF(Table242[[#This Row],[Performance Rating]]="On Time",1,0)</f>
        <v>1</v>
      </c>
    </row>
    <row r="239" spans="1:14" x14ac:dyDescent="0.35">
      <c r="A239" t="s">
        <v>234</v>
      </c>
      <c r="B239" t="s">
        <v>522</v>
      </c>
      <c r="C239" t="s">
        <v>584</v>
      </c>
      <c r="D239" s="2" t="s">
        <v>587</v>
      </c>
      <c r="E239" s="1" t="s">
        <v>592</v>
      </c>
      <c r="F239" s="3">
        <v>112</v>
      </c>
      <c r="G239" s="4">
        <v>135000</v>
      </c>
      <c r="H239" s="5">
        <v>125</v>
      </c>
      <c r="I239" s="6">
        <v>45711</v>
      </c>
      <c r="J239" s="2" t="s">
        <v>598</v>
      </c>
      <c r="K239" s="15">
        <f>PRODUCT(Table242[[#This Row],[Ticket Price]],Table242[[#This Row],[Passenger Count]])</f>
        <v>16875000</v>
      </c>
      <c r="L239" s="15">
        <f>Table242[[#This Row],[Revenue]]*(1-$Q$2)</f>
        <v>15187500</v>
      </c>
      <c r="M239" t="str">
        <f t="shared" si="3"/>
        <v>Late</v>
      </c>
      <c r="N239">
        <f>IF(Table242[[#This Row],[Performance Rating]]="On Time",1,0)</f>
        <v>0</v>
      </c>
    </row>
    <row r="240" spans="1:14" x14ac:dyDescent="0.35">
      <c r="A240" t="s">
        <v>235</v>
      </c>
      <c r="B240" t="s">
        <v>523</v>
      </c>
      <c r="C240" t="s">
        <v>582</v>
      </c>
      <c r="D240" s="2" t="s">
        <v>591</v>
      </c>
      <c r="E240" s="1" t="s">
        <v>594</v>
      </c>
      <c r="F240" s="3">
        <v>33</v>
      </c>
      <c r="G240" s="4">
        <v>120000</v>
      </c>
      <c r="H240" s="5">
        <v>70</v>
      </c>
      <c r="I240" s="6">
        <v>45763</v>
      </c>
      <c r="J240" s="2" t="s">
        <v>597</v>
      </c>
      <c r="K240" s="15">
        <f>PRODUCT(Table242[[#This Row],[Ticket Price]],Table242[[#This Row],[Passenger Count]])</f>
        <v>8400000</v>
      </c>
      <c r="L240" s="15">
        <f>Table242[[#This Row],[Revenue]]*(1-$Q$2)</f>
        <v>7560000</v>
      </c>
      <c r="M240" t="str">
        <f t="shared" si="3"/>
        <v>Late</v>
      </c>
      <c r="N240">
        <f>IF(Table242[[#This Row],[Performance Rating]]="On Time",1,0)</f>
        <v>0</v>
      </c>
    </row>
    <row r="241" spans="1:14" x14ac:dyDescent="0.35">
      <c r="A241" t="s">
        <v>236</v>
      </c>
      <c r="B241" t="s">
        <v>524</v>
      </c>
      <c r="C241" t="s">
        <v>584</v>
      </c>
      <c r="D241" s="2" t="s">
        <v>590</v>
      </c>
      <c r="E241" s="1" t="s">
        <v>596</v>
      </c>
      <c r="F241" s="3">
        <v>10</v>
      </c>
      <c r="G241" s="4">
        <v>45000</v>
      </c>
      <c r="H241" s="5">
        <v>152</v>
      </c>
      <c r="I241" s="6">
        <v>45768</v>
      </c>
      <c r="J241" s="2" t="s">
        <v>598</v>
      </c>
      <c r="K241" s="15">
        <f>PRODUCT(Table242[[#This Row],[Ticket Price]],Table242[[#This Row],[Passenger Count]])</f>
        <v>6840000</v>
      </c>
      <c r="L241" s="15">
        <f>Table242[[#This Row],[Revenue]]*(1-$Q$2)</f>
        <v>6156000</v>
      </c>
      <c r="M241" t="str">
        <f t="shared" si="3"/>
        <v>On Time</v>
      </c>
      <c r="N241">
        <f>IF(Table242[[#This Row],[Performance Rating]]="On Time",1,0)</f>
        <v>1</v>
      </c>
    </row>
    <row r="242" spans="1:14" x14ac:dyDescent="0.35">
      <c r="A242" t="s">
        <v>237</v>
      </c>
      <c r="B242" t="s">
        <v>418</v>
      </c>
      <c r="C242" t="s">
        <v>583</v>
      </c>
      <c r="D242" s="2" t="s">
        <v>587</v>
      </c>
      <c r="E242" s="1" t="s">
        <v>595</v>
      </c>
      <c r="F242" s="3">
        <v>146</v>
      </c>
      <c r="G242" s="4">
        <v>140000</v>
      </c>
      <c r="H242" s="5">
        <v>136</v>
      </c>
      <c r="I242" s="6">
        <v>45824</v>
      </c>
      <c r="J242" s="2" t="s">
        <v>597</v>
      </c>
      <c r="K242" s="15">
        <f>PRODUCT(Table242[[#This Row],[Ticket Price]],Table242[[#This Row],[Passenger Count]])</f>
        <v>19040000</v>
      </c>
      <c r="L242" s="15">
        <f>Table242[[#This Row],[Revenue]]*(1-$Q$2)</f>
        <v>17136000</v>
      </c>
      <c r="M242" t="str">
        <f t="shared" si="3"/>
        <v>Late</v>
      </c>
      <c r="N242">
        <f>IF(Table242[[#This Row],[Performance Rating]]="On Time",1,0)</f>
        <v>0</v>
      </c>
    </row>
    <row r="243" spans="1:14" x14ac:dyDescent="0.35">
      <c r="A243" t="s">
        <v>238</v>
      </c>
      <c r="B243" t="s">
        <v>525</v>
      </c>
      <c r="C243" t="s">
        <v>582</v>
      </c>
      <c r="D243" s="2" t="s">
        <v>585</v>
      </c>
      <c r="E243" s="1" t="s">
        <v>593</v>
      </c>
      <c r="F243" s="3">
        <v>122</v>
      </c>
      <c r="G243" s="4">
        <v>140000</v>
      </c>
      <c r="H243" s="5">
        <v>102</v>
      </c>
      <c r="I243" s="6">
        <v>45777</v>
      </c>
      <c r="J243" s="2" t="s">
        <v>597</v>
      </c>
      <c r="K243" s="15">
        <f>PRODUCT(Table242[[#This Row],[Ticket Price]],Table242[[#This Row],[Passenger Count]])</f>
        <v>14280000</v>
      </c>
      <c r="L243" s="15">
        <f>Table242[[#This Row],[Revenue]]*(1-$Q$2)</f>
        <v>12852000</v>
      </c>
      <c r="M243" t="str">
        <f t="shared" si="3"/>
        <v>Late</v>
      </c>
      <c r="N243">
        <f>IF(Table242[[#This Row],[Performance Rating]]="On Time",1,0)</f>
        <v>0</v>
      </c>
    </row>
    <row r="244" spans="1:14" x14ac:dyDescent="0.35">
      <c r="A244" t="s">
        <v>239</v>
      </c>
      <c r="B244" t="s">
        <v>526</v>
      </c>
      <c r="C244" t="s">
        <v>588</v>
      </c>
      <c r="D244" s="2" t="s">
        <v>584</v>
      </c>
      <c r="E244" s="1" t="s">
        <v>596</v>
      </c>
      <c r="F244" s="3">
        <v>105</v>
      </c>
      <c r="G244" s="4">
        <v>30000</v>
      </c>
      <c r="H244" s="5">
        <v>92</v>
      </c>
      <c r="I244" s="6">
        <v>45788</v>
      </c>
      <c r="J244" s="2" t="s">
        <v>597</v>
      </c>
      <c r="K244" s="15">
        <f>PRODUCT(Table242[[#This Row],[Ticket Price]],Table242[[#This Row],[Passenger Count]])</f>
        <v>2760000</v>
      </c>
      <c r="L244" s="15">
        <f>Table242[[#This Row],[Revenue]]*(1-$Q$2)</f>
        <v>2484000</v>
      </c>
      <c r="M244" t="str">
        <f t="shared" si="3"/>
        <v>Late</v>
      </c>
      <c r="N244">
        <f>IF(Table242[[#This Row],[Performance Rating]]="On Time",1,0)</f>
        <v>0</v>
      </c>
    </row>
    <row r="245" spans="1:14" x14ac:dyDescent="0.35">
      <c r="A245" t="s">
        <v>240</v>
      </c>
      <c r="B245" t="s">
        <v>527</v>
      </c>
      <c r="C245" t="s">
        <v>588</v>
      </c>
      <c r="D245" s="2" t="s">
        <v>591</v>
      </c>
      <c r="E245" s="1" t="s">
        <v>593</v>
      </c>
      <c r="F245" s="3">
        <v>60</v>
      </c>
      <c r="G245" s="4">
        <v>30000</v>
      </c>
      <c r="H245" s="5">
        <v>77</v>
      </c>
      <c r="I245" s="6">
        <v>45826</v>
      </c>
      <c r="J245" s="2" t="s">
        <v>597</v>
      </c>
      <c r="K245" s="15">
        <f>PRODUCT(Table242[[#This Row],[Ticket Price]],Table242[[#This Row],[Passenger Count]])</f>
        <v>2310000</v>
      </c>
      <c r="L245" s="15">
        <f>Table242[[#This Row],[Revenue]]*(1-$Q$2)</f>
        <v>2079000</v>
      </c>
      <c r="M245" t="str">
        <f t="shared" si="3"/>
        <v>Late</v>
      </c>
      <c r="N245">
        <f>IF(Table242[[#This Row],[Performance Rating]]="On Time",1,0)</f>
        <v>0</v>
      </c>
    </row>
    <row r="246" spans="1:14" x14ac:dyDescent="0.35">
      <c r="A246" t="s">
        <v>241</v>
      </c>
      <c r="B246" t="s">
        <v>528</v>
      </c>
      <c r="C246" t="s">
        <v>585</v>
      </c>
      <c r="D246" s="2" t="s">
        <v>590</v>
      </c>
      <c r="E246" s="1" t="s">
        <v>596</v>
      </c>
      <c r="F246" s="3">
        <v>84</v>
      </c>
      <c r="G246" s="4">
        <v>115000</v>
      </c>
      <c r="H246" s="5">
        <v>101</v>
      </c>
      <c r="I246" s="6">
        <v>45746</v>
      </c>
      <c r="J246" s="2" t="s">
        <v>597</v>
      </c>
      <c r="K246" s="15">
        <f>PRODUCT(Table242[[#This Row],[Ticket Price]],Table242[[#This Row],[Passenger Count]])</f>
        <v>11615000</v>
      </c>
      <c r="L246" s="15">
        <f>Table242[[#This Row],[Revenue]]*(1-$Q$2)</f>
        <v>10453500</v>
      </c>
      <c r="M246" t="str">
        <f t="shared" si="3"/>
        <v>Late</v>
      </c>
      <c r="N246">
        <f>IF(Table242[[#This Row],[Performance Rating]]="On Time",1,0)</f>
        <v>0</v>
      </c>
    </row>
    <row r="247" spans="1:14" x14ac:dyDescent="0.35">
      <c r="A247" t="s">
        <v>242</v>
      </c>
      <c r="B247" t="s">
        <v>521</v>
      </c>
      <c r="C247" t="s">
        <v>582</v>
      </c>
      <c r="D247" s="2" t="s">
        <v>583</v>
      </c>
      <c r="E247" s="1" t="s">
        <v>594</v>
      </c>
      <c r="F247" s="3">
        <v>27</v>
      </c>
      <c r="G247" s="4">
        <v>45000</v>
      </c>
      <c r="H247" s="5">
        <v>162</v>
      </c>
      <c r="I247" s="6">
        <v>45742</v>
      </c>
      <c r="J247" s="2" t="s">
        <v>598</v>
      </c>
      <c r="K247" s="15">
        <f>PRODUCT(Table242[[#This Row],[Ticket Price]],Table242[[#This Row],[Passenger Count]])</f>
        <v>7290000</v>
      </c>
      <c r="L247" s="15">
        <f>Table242[[#This Row],[Revenue]]*(1-$Q$2)</f>
        <v>6561000</v>
      </c>
      <c r="M247" t="str">
        <f t="shared" si="3"/>
        <v>Slight Delay</v>
      </c>
      <c r="N247">
        <f>IF(Table242[[#This Row],[Performance Rating]]="On Time",1,0)</f>
        <v>0</v>
      </c>
    </row>
    <row r="248" spans="1:14" x14ac:dyDescent="0.35">
      <c r="A248" t="s">
        <v>243</v>
      </c>
      <c r="B248" t="s">
        <v>457</v>
      </c>
      <c r="C248" t="s">
        <v>581</v>
      </c>
      <c r="D248" s="2" t="s">
        <v>590</v>
      </c>
      <c r="E248" s="1" t="s">
        <v>595</v>
      </c>
      <c r="F248" s="3">
        <v>5</v>
      </c>
      <c r="G248" s="4">
        <v>140000</v>
      </c>
      <c r="H248" s="5">
        <v>91</v>
      </c>
      <c r="I248" s="6">
        <v>45735</v>
      </c>
      <c r="J248" s="2" t="s">
        <v>597</v>
      </c>
      <c r="K248" s="15">
        <f>PRODUCT(Table242[[#This Row],[Ticket Price]],Table242[[#This Row],[Passenger Count]])</f>
        <v>12740000</v>
      </c>
      <c r="L248" s="15">
        <f>Table242[[#This Row],[Revenue]]*(1-$Q$2)</f>
        <v>11466000</v>
      </c>
      <c r="M248" t="str">
        <f t="shared" si="3"/>
        <v>On Time</v>
      </c>
      <c r="N248">
        <f>IF(Table242[[#This Row],[Performance Rating]]="On Time",1,0)</f>
        <v>1</v>
      </c>
    </row>
    <row r="249" spans="1:14" x14ac:dyDescent="0.35">
      <c r="A249" t="s">
        <v>244</v>
      </c>
      <c r="B249" t="s">
        <v>529</v>
      </c>
      <c r="C249" t="s">
        <v>588</v>
      </c>
      <c r="D249" s="2" t="s">
        <v>589</v>
      </c>
      <c r="E249" s="1" t="s">
        <v>595</v>
      </c>
      <c r="F249" s="3">
        <v>111</v>
      </c>
      <c r="G249" s="4">
        <v>65000</v>
      </c>
      <c r="H249" s="5">
        <v>139</v>
      </c>
      <c r="I249" s="6">
        <v>45777</v>
      </c>
      <c r="J249" s="2" t="s">
        <v>597</v>
      </c>
      <c r="K249" s="15">
        <f>PRODUCT(Table242[[#This Row],[Ticket Price]],Table242[[#This Row],[Passenger Count]])</f>
        <v>9035000</v>
      </c>
      <c r="L249" s="15">
        <f>Table242[[#This Row],[Revenue]]*(1-$Q$2)</f>
        <v>8131500</v>
      </c>
      <c r="M249" t="str">
        <f t="shared" si="3"/>
        <v>Late</v>
      </c>
      <c r="N249">
        <f>IF(Table242[[#This Row],[Performance Rating]]="On Time",1,0)</f>
        <v>0</v>
      </c>
    </row>
    <row r="250" spans="1:14" x14ac:dyDescent="0.35">
      <c r="A250" t="s">
        <v>245</v>
      </c>
      <c r="B250" t="s">
        <v>446</v>
      </c>
      <c r="C250" t="s">
        <v>582</v>
      </c>
      <c r="D250" s="2" t="s">
        <v>584</v>
      </c>
      <c r="E250" s="1" t="s">
        <v>596</v>
      </c>
      <c r="F250" s="3">
        <v>112</v>
      </c>
      <c r="G250" s="4">
        <v>125000</v>
      </c>
      <c r="H250" s="5">
        <v>179</v>
      </c>
      <c r="I250" s="6">
        <v>45723</v>
      </c>
      <c r="J250" s="2" t="s">
        <v>597</v>
      </c>
      <c r="K250" s="15">
        <f>PRODUCT(Table242[[#This Row],[Ticket Price]],Table242[[#This Row],[Passenger Count]])</f>
        <v>22375000</v>
      </c>
      <c r="L250" s="15">
        <f>Table242[[#This Row],[Revenue]]*(1-$Q$2)</f>
        <v>20137500</v>
      </c>
      <c r="M250" t="str">
        <f t="shared" si="3"/>
        <v>Late</v>
      </c>
      <c r="N250">
        <f>IF(Table242[[#This Row],[Performance Rating]]="On Time",1,0)</f>
        <v>0</v>
      </c>
    </row>
    <row r="251" spans="1:14" x14ac:dyDescent="0.35">
      <c r="A251" t="s">
        <v>246</v>
      </c>
      <c r="B251" t="s">
        <v>410</v>
      </c>
      <c r="C251" t="s">
        <v>581</v>
      </c>
      <c r="D251" s="2" t="s">
        <v>590</v>
      </c>
      <c r="E251" s="1" t="s">
        <v>595</v>
      </c>
      <c r="F251" s="3">
        <v>121</v>
      </c>
      <c r="G251" s="4">
        <v>70000</v>
      </c>
      <c r="H251" s="5">
        <v>134</v>
      </c>
      <c r="I251" s="6">
        <v>45698</v>
      </c>
      <c r="J251" s="2" t="s">
        <v>598</v>
      </c>
      <c r="K251" s="15">
        <f>PRODUCT(Table242[[#This Row],[Ticket Price]],Table242[[#This Row],[Passenger Count]])</f>
        <v>9380000</v>
      </c>
      <c r="L251" s="15">
        <f>Table242[[#This Row],[Revenue]]*(1-$Q$2)</f>
        <v>8442000</v>
      </c>
      <c r="M251" t="str">
        <f t="shared" si="3"/>
        <v>Late</v>
      </c>
      <c r="N251">
        <f>IF(Table242[[#This Row],[Performance Rating]]="On Time",1,0)</f>
        <v>0</v>
      </c>
    </row>
    <row r="252" spans="1:14" x14ac:dyDescent="0.35">
      <c r="A252" t="s">
        <v>247</v>
      </c>
      <c r="B252" t="s">
        <v>530</v>
      </c>
      <c r="C252" t="s">
        <v>588</v>
      </c>
      <c r="D252" s="2" t="s">
        <v>584</v>
      </c>
      <c r="E252" s="1" t="s">
        <v>595</v>
      </c>
      <c r="F252" s="3">
        <v>176</v>
      </c>
      <c r="G252" s="4">
        <v>65000</v>
      </c>
      <c r="H252" s="5">
        <v>149</v>
      </c>
      <c r="I252" s="6">
        <v>45715</v>
      </c>
      <c r="J252" s="2" t="s">
        <v>597</v>
      </c>
      <c r="K252" s="15">
        <f>PRODUCT(Table242[[#This Row],[Ticket Price]],Table242[[#This Row],[Passenger Count]])</f>
        <v>9685000</v>
      </c>
      <c r="L252" s="15">
        <f>Table242[[#This Row],[Revenue]]*(1-$Q$2)</f>
        <v>8716500</v>
      </c>
      <c r="M252" t="str">
        <f t="shared" si="3"/>
        <v>Late</v>
      </c>
      <c r="N252">
        <f>IF(Table242[[#This Row],[Performance Rating]]="On Time",1,0)</f>
        <v>0</v>
      </c>
    </row>
    <row r="253" spans="1:14" x14ac:dyDescent="0.35">
      <c r="A253" t="s">
        <v>248</v>
      </c>
      <c r="B253" t="s">
        <v>459</v>
      </c>
      <c r="C253" t="s">
        <v>585</v>
      </c>
      <c r="D253" s="2" t="s">
        <v>589</v>
      </c>
      <c r="E253" s="1" t="s">
        <v>596</v>
      </c>
      <c r="F253" s="3">
        <v>46</v>
      </c>
      <c r="G253" s="4">
        <v>145000</v>
      </c>
      <c r="H253" s="5">
        <v>86</v>
      </c>
      <c r="I253" s="6">
        <v>45804</v>
      </c>
      <c r="J253" s="2" t="s">
        <v>598</v>
      </c>
      <c r="K253" s="15">
        <f>PRODUCT(Table242[[#This Row],[Ticket Price]],Table242[[#This Row],[Passenger Count]])</f>
        <v>12470000</v>
      </c>
      <c r="L253" s="15">
        <f>Table242[[#This Row],[Revenue]]*(1-$Q$2)</f>
        <v>11223000</v>
      </c>
      <c r="M253" t="str">
        <f t="shared" si="3"/>
        <v>Late</v>
      </c>
      <c r="N253">
        <f>IF(Table242[[#This Row],[Performance Rating]]="On Time",1,0)</f>
        <v>0</v>
      </c>
    </row>
    <row r="254" spans="1:14" x14ac:dyDescent="0.35">
      <c r="A254" t="s">
        <v>249</v>
      </c>
      <c r="B254" t="s">
        <v>531</v>
      </c>
      <c r="C254" t="s">
        <v>586</v>
      </c>
      <c r="D254" s="2" t="s">
        <v>585</v>
      </c>
      <c r="E254" s="1" t="s">
        <v>594</v>
      </c>
      <c r="F254" s="3">
        <v>141</v>
      </c>
      <c r="G254" s="4">
        <v>75000</v>
      </c>
      <c r="H254" s="5">
        <v>83</v>
      </c>
      <c r="I254" s="6">
        <v>45738</v>
      </c>
      <c r="J254" s="2" t="s">
        <v>597</v>
      </c>
      <c r="K254" s="15">
        <f>PRODUCT(Table242[[#This Row],[Ticket Price]],Table242[[#This Row],[Passenger Count]])</f>
        <v>6225000</v>
      </c>
      <c r="L254" s="15">
        <f>Table242[[#This Row],[Revenue]]*(1-$Q$2)</f>
        <v>5602500</v>
      </c>
      <c r="M254" t="str">
        <f t="shared" si="3"/>
        <v>Late</v>
      </c>
      <c r="N254">
        <f>IF(Table242[[#This Row],[Performance Rating]]="On Time",1,0)</f>
        <v>0</v>
      </c>
    </row>
    <row r="255" spans="1:14" x14ac:dyDescent="0.35">
      <c r="A255" t="s">
        <v>250</v>
      </c>
      <c r="B255" t="s">
        <v>442</v>
      </c>
      <c r="C255" t="s">
        <v>586</v>
      </c>
      <c r="D255" s="2" t="s">
        <v>589</v>
      </c>
      <c r="E255" s="1" t="s">
        <v>594</v>
      </c>
      <c r="F255" s="3">
        <v>118</v>
      </c>
      <c r="G255" s="4">
        <v>75000</v>
      </c>
      <c r="H255" s="5">
        <v>75</v>
      </c>
      <c r="I255" s="6">
        <v>45683</v>
      </c>
      <c r="J255" s="2" t="s">
        <v>598</v>
      </c>
      <c r="K255" s="15">
        <f>PRODUCT(Table242[[#This Row],[Ticket Price]],Table242[[#This Row],[Passenger Count]])</f>
        <v>5625000</v>
      </c>
      <c r="L255" s="15">
        <f>Table242[[#This Row],[Revenue]]*(1-$Q$2)</f>
        <v>5062500</v>
      </c>
      <c r="M255" t="str">
        <f t="shared" si="3"/>
        <v>Late</v>
      </c>
      <c r="N255">
        <f>IF(Table242[[#This Row],[Performance Rating]]="On Time",1,0)</f>
        <v>0</v>
      </c>
    </row>
    <row r="256" spans="1:14" x14ac:dyDescent="0.35">
      <c r="A256" t="s">
        <v>251</v>
      </c>
      <c r="B256" t="s">
        <v>488</v>
      </c>
      <c r="C256" t="s">
        <v>587</v>
      </c>
      <c r="D256" s="2" t="s">
        <v>591</v>
      </c>
      <c r="E256" s="1" t="s">
        <v>592</v>
      </c>
      <c r="F256" s="3">
        <v>69</v>
      </c>
      <c r="G256" s="4">
        <v>95000</v>
      </c>
      <c r="H256" s="5">
        <v>62</v>
      </c>
      <c r="I256" s="6">
        <v>45670</v>
      </c>
      <c r="J256" s="2" t="s">
        <v>597</v>
      </c>
      <c r="K256" s="15">
        <f>PRODUCT(Table242[[#This Row],[Ticket Price]],Table242[[#This Row],[Passenger Count]])</f>
        <v>5890000</v>
      </c>
      <c r="L256" s="15">
        <f>Table242[[#This Row],[Revenue]]*(1-$Q$2)</f>
        <v>5301000</v>
      </c>
      <c r="M256" t="str">
        <f t="shared" si="3"/>
        <v>Late</v>
      </c>
      <c r="N256">
        <f>IF(Table242[[#This Row],[Performance Rating]]="On Time",1,0)</f>
        <v>0</v>
      </c>
    </row>
    <row r="257" spans="1:14" x14ac:dyDescent="0.35">
      <c r="A257" t="s">
        <v>252</v>
      </c>
      <c r="B257" t="s">
        <v>381</v>
      </c>
      <c r="C257" t="s">
        <v>588</v>
      </c>
      <c r="D257" s="2" t="s">
        <v>587</v>
      </c>
      <c r="E257" s="1" t="s">
        <v>594</v>
      </c>
      <c r="F257" s="3">
        <v>108</v>
      </c>
      <c r="G257" s="4">
        <v>80000</v>
      </c>
      <c r="H257" s="5">
        <v>92</v>
      </c>
      <c r="I257" s="6">
        <v>45795</v>
      </c>
      <c r="J257" s="2" t="s">
        <v>598</v>
      </c>
      <c r="K257" s="15">
        <f>PRODUCT(Table242[[#This Row],[Ticket Price]],Table242[[#This Row],[Passenger Count]])</f>
        <v>7360000</v>
      </c>
      <c r="L257" s="15">
        <f>Table242[[#This Row],[Revenue]]*(1-$Q$2)</f>
        <v>6624000</v>
      </c>
      <c r="M257" t="str">
        <f t="shared" si="3"/>
        <v>Late</v>
      </c>
      <c r="N257">
        <f>IF(Table242[[#This Row],[Performance Rating]]="On Time",1,0)</f>
        <v>0</v>
      </c>
    </row>
    <row r="258" spans="1:14" x14ac:dyDescent="0.35">
      <c r="A258" t="s">
        <v>253</v>
      </c>
      <c r="B258" t="s">
        <v>532</v>
      </c>
      <c r="C258" t="s">
        <v>585</v>
      </c>
      <c r="D258" s="2" t="s">
        <v>583</v>
      </c>
      <c r="E258" s="1" t="s">
        <v>594</v>
      </c>
      <c r="F258" s="3">
        <v>24</v>
      </c>
      <c r="G258" s="4">
        <v>130000</v>
      </c>
      <c r="H258" s="5">
        <v>153</v>
      </c>
      <c r="I258" s="6">
        <v>45681</v>
      </c>
      <c r="J258" s="2" t="s">
        <v>598</v>
      </c>
      <c r="K258" s="15">
        <f>PRODUCT(Table242[[#This Row],[Ticket Price]],Table242[[#This Row],[Passenger Count]])</f>
        <v>19890000</v>
      </c>
      <c r="L258" s="15">
        <f>Table242[[#This Row],[Revenue]]*(1-$Q$2)</f>
        <v>17901000</v>
      </c>
      <c r="M258" t="str">
        <f t="shared" si="3"/>
        <v>Slight Delay</v>
      </c>
      <c r="N258">
        <f>IF(Table242[[#This Row],[Performance Rating]]="On Time",1,0)</f>
        <v>0</v>
      </c>
    </row>
    <row r="259" spans="1:14" x14ac:dyDescent="0.35">
      <c r="A259" t="s">
        <v>254</v>
      </c>
      <c r="B259" t="s">
        <v>533</v>
      </c>
      <c r="C259" t="s">
        <v>582</v>
      </c>
      <c r="D259" s="2" t="s">
        <v>590</v>
      </c>
      <c r="E259" s="1" t="s">
        <v>594</v>
      </c>
      <c r="F259" s="3">
        <v>126</v>
      </c>
      <c r="G259" s="4">
        <v>95000</v>
      </c>
      <c r="H259" s="5">
        <v>150</v>
      </c>
      <c r="I259" s="6">
        <v>45836</v>
      </c>
      <c r="J259" s="2" t="s">
        <v>598</v>
      </c>
      <c r="K259" s="15">
        <f>PRODUCT(Table242[[#This Row],[Ticket Price]],Table242[[#This Row],[Passenger Count]])</f>
        <v>14250000</v>
      </c>
      <c r="L259" s="15">
        <f>Table242[[#This Row],[Revenue]]*(1-$Q$2)</f>
        <v>12825000</v>
      </c>
      <c r="M259" t="str">
        <f t="shared" ref="M259:M322" si="4">IF(F259&lt;=10,"On Time",IF(F259&lt;=30,"Slight Delay","Late"))</f>
        <v>Late</v>
      </c>
      <c r="N259">
        <f>IF(Table242[[#This Row],[Performance Rating]]="On Time",1,0)</f>
        <v>0</v>
      </c>
    </row>
    <row r="260" spans="1:14" x14ac:dyDescent="0.35">
      <c r="A260" t="s">
        <v>255</v>
      </c>
      <c r="B260" t="s">
        <v>433</v>
      </c>
      <c r="C260" t="s">
        <v>585</v>
      </c>
      <c r="D260" s="2" t="s">
        <v>591</v>
      </c>
      <c r="E260" s="1" t="s">
        <v>592</v>
      </c>
      <c r="F260" s="3">
        <v>150</v>
      </c>
      <c r="G260" s="4">
        <v>70000</v>
      </c>
      <c r="H260" s="5">
        <v>109</v>
      </c>
      <c r="I260" s="6">
        <v>45784</v>
      </c>
      <c r="J260" s="2" t="s">
        <v>597</v>
      </c>
      <c r="K260" s="15">
        <f>PRODUCT(Table242[[#This Row],[Ticket Price]],Table242[[#This Row],[Passenger Count]])</f>
        <v>7630000</v>
      </c>
      <c r="L260" s="15">
        <f>Table242[[#This Row],[Revenue]]*(1-$Q$2)</f>
        <v>6867000</v>
      </c>
      <c r="M260" t="str">
        <f t="shared" si="4"/>
        <v>Late</v>
      </c>
      <c r="N260">
        <f>IF(Table242[[#This Row],[Performance Rating]]="On Time",1,0)</f>
        <v>0</v>
      </c>
    </row>
    <row r="261" spans="1:14" x14ac:dyDescent="0.35">
      <c r="A261" t="s">
        <v>256</v>
      </c>
      <c r="B261" t="s">
        <v>534</v>
      </c>
      <c r="C261" t="s">
        <v>586</v>
      </c>
      <c r="D261" s="2" t="s">
        <v>587</v>
      </c>
      <c r="E261" s="1" t="s">
        <v>594</v>
      </c>
      <c r="F261" s="3">
        <v>180</v>
      </c>
      <c r="G261" s="4">
        <v>110000</v>
      </c>
      <c r="H261" s="5">
        <v>90</v>
      </c>
      <c r="I261" s="6">
        <v>45760</v>
      </c>
      <c r="J261" s="2" t="s">
        <v>597</v>
      </c>
      <c r="K261" s="15">
        <f>PRODUCT(Table242[[#This Row],[Ticket Price]],Table242[[#This Row],[Passenger Count]])</f>
        <v>9900000</v>
      </c>
      <c r="L261" s="15">
        <f>Table242[[#This Row],[Revenue]]*(1-$Q$2)</f>
        <v>8910000</v>
      </c>
      <c r="M261" t="str">
        <f t="shared" si="4"/>
        <v>Late</v>
      </c>
      <c r="N261">
        <f>IF(Table242[[#This Row],[Performance Rating]]="On Time",1,0)</f>
        <v>0</v>
      </c>
    </row>
    <row r="262" spans="1:14" x14ac:dyDescent="0.35">
      <c r="A262" t="s">
        <v>257</v>
      </c>
      <c r="B262" t="s">
        <v>535</v>
      </c>
      <c r="C262" t="s">
        <v>584</v>
      </c>
      <c r="D262" s="2" t="s">
        <v>590</v>
      </c>
      <c r="E262" s="1" t="s">
        <v>596</v>
      </c>
      <c r="F262" s="3">
        <v>38</v>
      </c>
      <c r="G262" s="4">
        <v>35000</v>
      </c>
      <c r="H262" s="5">
        <v>127</v>
      </c>
      <c r="I262" s="6">
        <v>45711</v>
      </c>
      <c r="J262" s="2" t="s">
        <v>598</v>
      </c>
      <c r="K262" s="15">
        <f>PRODUCT(Table242[[#This Row],[Ticket Price]],Table242[[#This Row],[Passenger Count]])</f>
        <v>4445000</v>
      </c>
      <c r="L262" s="15">
        <f>Table242[[#This Row],[Revenue]]*(1-$Q$2)</f>
        <v>4000500</v>
      </c>
      <c r="M262" t="str">
        <f t="shared" si="4"/>
        <v>Late</v>
      </c>
      <c r="N262">
        <f>IF(Table242[[#This Row],[Performance Rating]]="On Time",1,0)</f>
        <v>0</v>
      </c>
    </row>
    <row r="263" spans="1:14" x14ac:dyDescent="0.35">
      <c r="A263" t="s">
        <v>258</v>
      </c>
      <c r="B263" t="s">
        <v>536</v>
      </c>
      <c r="C263" t="s">
        <v>584</v>
      </c>
      <c r="D263" s="2" t="s">
        <v>591</v>
      </c>
      <c r="E263" s="1" t="s">
        <v>596</v>
      </c>
      <c r="F263" s="3">
        <v>86</v>
      </c>
      <c r="G263" s="4">
        <v>90000</v>
      </c>
      <c r="H263" s="5">
        <v>155</v>
      </c>
      <c r="I263" s="6">
        <v>45684</v>
      </c>
      <c r="J263" s="2" t="s">
        <v>597</v>
      </c>
      <c r="K263" s="15">
        <f>PRODUCT(Table242[[#This Row],[Ticket Price]],Table242[[#This Row],[Passenger Count]])</f>
        <v>13950000</v>
      </c>
      <c r="L263" s="15">
        <f>Table242[[#This Row],[Revenue]]*(1-$Q$2)</f>
        <v>12555000</v>
      </c>
      <c r="M263" t="str">
        <f t="shared" si="4"/>
        <v>Late</v>
      </c>
      <c r="N263">
        <f>IF(Table242[[#This Row],[Performance Rating]]="On Time",1,0)</f>
        <v>0</v>
      </c>
    </row>
    <row r="264" spans="1:14" x14ac:dyDescent="0.35">
      <c r="A264" t="s">
        <v>259</v>
      </c>
      <c r="B264" t="s">
        <v>508</v>
      </c>
      <c r="C264" t="s">
        <v>588</v>
      </c>
      <c r="D264" s="2" t="s">
        <v>583</v>
      </c>
      <c r="E264" s="1" t="s">
        <v>595</v>
      </c>
      <c r="F264" s="3">
        <v>13</v>
      </c>
      <c r="G264" s="4">
        <v>115000</v>
      </c>
      <c r="H264" s="5">
        <v>161</v>
      </c>
      <c r="I264" s="6">
        <v>45760</v>
      </c>
      <c r="J264" s="2" t="s">
        <v>597</v>
      </c>
      <c r="K264" s="15">
        <f>PRODUCT(Table242[[#This Row],[Ticket Price]],Table242[[#This Row],[Passenger Count]])</f>
        <v>18515000</v>
      </c>
      <c r="L264" s="15">
        <f>Table242[[#This Row],[Revenue]]*(1-$Q$2)</f>
        <v>16663500</v>
      </c>
      <c r="M264" t="str">
        <f t="shared" si="4"/>
        <v>Slight Delay</v>
      </c>
      <c r="N264">
        <f>IF(Table242[[#This Row],[Performance Rating]]="On Time",1,0)</f>
        <v>0</v>
      </c>
    </row>
    <row r="265" spans="1:14" x14ac:dyDescent="0.35">
      <c r="A265" t="s">
        <v>260</v>
      </c>
      <c r="B265" t="s">
        <v>347</v>
      </c>
      <c r="C265" t="s">
        <v>581</v>
      </c>
      <c r="D265" s="2" t="s">
        <v>590</v>
      </c>
      <c r="E265" s="1" t="s">
        <v>594</v>
      </c>
      <c r="F265" s="3">
        <v>130</v>
      </c>
      <c r="G265" s="4">
        <v>100000</v>
      </c>
      <c r="H265" s="5">
        <v>97</v>
      </c>
      <c r="I265" s="6">
        <v>45739</v>
      </c>
      <c r="J265" s="2" t="s">
        <v>597</v>
      </c>
      <c r="K265" s="15">
        <f>PRODUCT(Table242[[#This Row],[Ticket Price]],Table242[[#This Row],[Passenger Count]])</f>
        <v>9700000</v>
      </c>
      <c r="L265" s="15">
        <f>Table242[[#This Row],[Revenue]]*(1-$Q$2)</f>
        <v>8730000</v>
      </c>
      <c r="M265" t="str">
        <f t="shared" si="4"/>
        <v>Late</v>
      </c>
      <c r="N265">
        <f>IF(Table242[[#This Row],[Performance Rating]]="On Time",1,0)</f>
        <v>0</v>
      </c>
    </row>
    <row r="266" spans="1:14" x14ac:dyDescent="0.35">
      <c r="A266" t="s">
        <v>261</v>
      </c>
      <c r="B266" t="s">
        <v>537</v>
      </c>
      <c r="C266" t="s">
        <v>588</v>
      </c>
      <c r="D266" s="2" t="s">
        <v>587</v>
      </c>
      <c r="E266" s="1" t="s">
        <v>595</v>
      </c>
      <c r="F266" s="3">
        <v>22</v>
      </c>
      <c r="G266" s="4">
        <v>55000</v>
      </c>
      <c r="H266" s="5">
        <v>68</v>
      </c>
      <c r="I266" s="6">
        <v>45686</v>
      </c>
      <c r="J266" s="2" t="s">
        <v>597</v>
      </c>
      <c r="K266" s="15">
        <f>PRODUCT(Table242[[#This Row],[Ticket Price]],Table242[[#This Row],[Passenger Count]])</f>
        <v>3740000</v>
      </c>
      <c r="L266" s="15">
        <f>Table242[[#This Row],[Revenue]]*(1-$Q$2)</f>
        <v>3366000</v>
      </c>
      <c r="M266" t="str">
        <f t="shared" si="4"/>
        <v>Slight Delay</v>
      </c>
      <c r="N266">
        <f>IF(Table242[[#This Row],[Performance Rating]]="On Time",1,0)</f>
        <v>0</v>
      </c>
    </row>
    <row r="267" spans="1:14" x14ac:dyDescent="0.35">
      <c r="A267" t="s">
        <v>262</v>
      </c>
      <c r="B267" t="s">
        <v>538</v>
      </c>
      <c r="C267" t="s">
        <v>583</v>
      </c>
      <c r="D267" s="2" t="s">
        <v>589</v>
      </c>
      <c r="E267" s="1" t="s">
        <v>596</v>
      </c>
      <c r="F267" s="3">
        <v>148</v>
      </c>
      <c r="G267" s="4">
        <v>125000</v>
      </c>
      <c r="H267" s="5">
        <v>144</v>
      </c>
      <c r="I267" s="6">
        <v>45821</v>
      </c>
      <c r="J267" s="2" t="s">
        <v>598</v>
      </c>
      <c r="K267" s="15">
        <f>PRODUCT(Table242[[#This Row],[Ticket Price]],Table242[[#This Row],[Passenger Count]])</f>
        <v>18000000</v>
      </c>
      <c r="L267" s="15">
        <f>Table242[[#This Row],[Revenue]]*(1-$Q$2)</f>
        <v>16200000</v>
      </c>
      <c r="M267" t="str">
        <f t="shared" si="4"/>
        <v>Late</v>
      </c>
      <c r="N267">
        <f>IF(Table242[[#This Row],[Performance Rating]]="On Time",1,0)</f>
        <v>0</v>
      </c>
    </row>
    <row r="268" spans="1:14" x14ac:dyDescent="0.35">
      <c r="A268" t="s">
        <v>263</v>
      </c>
      <c r="B268" t="s">
        <v>539</v>
      </c>
      <c r="C268" t="s">
        <v>583</v>
      </c>
      <c r="D268" s="2" t="s">
        <v>589</v>
      </c>
      <c r="E268" s="1" t="s">
        <v>596</v>
      </c>
      <c r="F268" s="3">
        <v>142</v>
      </c>
      <c r="G268" s="4">
        <v>50000</v>
      </c>
      <c r="H268" s="5">
        <v>152</v>
      </c>
      <c r="I268" s="6">
        <v>45701</v>
      </c>
      <c r="J268" s="2" t="s">
        <v>597</v>
      </c>
      <c r="K268" s="15">
        <f>PRODUCT(Table242[[#This Row],[Ticket Price]],Table242[[#This Row],[Passenger Count]])</f>
        <v>7600000</v>
      </c>
      <c r="L268" s="15">
        <f>Table242[[#This Row],[Revenue]]*(1-$Q$2)</f>
        <v>6840000</v>
      </c>
      <c r="M268" t="str">
        <f t="shared" si="4"/>
        <v>Late</v>
      </c>
      <c r="N268">
        <f>IF(Table242[[#This Row],[Performance Rating]]="On Time",1,0)</f>
        <v>0</v>
      </c>
    </row>
    <row r="269" spans="1:14" x14ac:dyDescent="0.35">
      <c r="A269" t="s">
        <v>264</v>
      </c>
      <c r="B269" t="s">
        <v>416</v>
      </c>
      <c r="C269" t="s">
        <v>583</v>
      </c>
      <c r="D269" s="2" t="s">
        <v>582</v>
      </c>
      <c r="E269" s="1" t="s">
        <v>595</v>
      </c>
      <c r="F269" s="3">
        <v>49</v>
      </c>
      <c r="G269" s="4">
        <v>55000</v>
      </c>
      <c r="H269" s="5">
        <v>147</v>
      </c>
      <c r="I269" s="6">
        <v>45795</v>
      </c>
      <c r="J269" s="2" t="s">
        <v>598</v>
      </c>
      <c r="K269" s="15">
        <f>PRODUCT(Table242[[#This Row],[Ticket Price]],Table242[[#This Row],[Passenger Count]])</f>
        <v>8085000</v>
      </c>
      <c r="L269" s="15">
        <f>Table242[[#This Row],[Revenue]]*(1-$Q$2)</f>
        <v>7276500</v>
      </c>
      <c r="M269" t="str">
        <f t="shared" si="4"/>
        <v>Late</v>
      </c>
      <c r="N269">
        <f>IF(Table242[[#This Row],[Performance Rating]]="On Time",1,0)</f>
        <v>0</v>
      </c>
    </row>
    <row r="270" spans="1:14" x14ac:dyDescent="0.35">
      <c r="A270" t="s">
        <v>265</v>
      </c>
      <c r="B270" t="s">
        <v>540</v>
      </c>
      <c r="C270" t="s">
        <v>581</v>
      </c>
      <c r="D270" s="2" t="s">
        <v>583</v>
      </c>
      <c r="E270" s="1" t="s">
        <v>592</v>
      </c>
      <c r="F270" s="3">
        <v>54</v>
      </c>
      <c r="G270" s="4">
        <v>40000</v>
      </c>
      <c r="H270" s="5">
        <v>87</v>
      </c>
      <c r="I270" s="6">
        <v>45763</v>
      </c>
      <c r="J270" s="2" t="s">
        <v>597</v>
      </c>
      <c r="K270" s="15">
        <f>PRODUCT(Table242[[#This Row],[Ticket Price]],Table242[[#This Row],[Passenger Count]])</f>
        <v>3480000</v>
      </c>
      <c r="L270" s="15">
        <f>Table242[[#This Row],[Revenue]]*(1-$Q$2)</f>
        <v>3132000</v>
      </c>
      <c r="M270" t="str">
        <f t="shared" si="4"/>
        <v>Late</v>
      </c>
      <c r="N270">
        <f>IF(Table242[[#This Row],[Performance Rating]]="On Time",1,0)</f>
        <v>0</v>
      </c>
    </row>
    <row r="271" spans="1:14" x14ac:dyDescent="0.35">
      <c r="A271" t="s">
        <v>266</v>
      </c>
      <c r="B271" t="s">
        <v>462</v>
      </c>
      <c r="C271" t="s">
        <v>582</v>
      </c>
      <c r="D271" s="2" t="s">
        <v>590</v>
      </c>
      <c r="E271" s="1" t="s">
        <v>593</v>
      </c>
      <c r="F271" s="3">
        <v>19</v>
      </c>
      <c r="G271" s="4">
        <v>35000</v>
      </c>
      <c r="H271" s="5">
        <v>151</v>
      </c>
      <c r="I271" s="6">
        <v>45757</v>
      </c>
      <c r="J271" s="2" t="s">
        <v>598</v>
      </c>
      <c r="K271" s="15">
        <f>PRODUCT(Table242[[#This Row],[Ticket Price]],Table242[[#This Row],[Passenger Count]])</f>
        <v>5285000</v>
      </c>
      <c r="L271" s="15">
        <f>Table242[[#This Row],[Revenue]]*(1-$Q$2)</f>
        <v>4756500</v>
      </c>
      <c r="M271" t="str">
        <f t="shared" si="4"/>
        <v>Slight Delay</v>
      </c>
      <c r="N271">
        <f>IF(Table242[[#This Row],[Performance Rating]]="On Time",1,0)</f>
        <v>0</v>
      </c>
    </row>
    <row r="272" spans="1:14" x14ac:dyDescent="0.35">
      <c r="A272" t="s">
        <v>267</v>
      </c>
      <c r="B272" t="s">
        <v>470</v>
      </c>
      <c r="C272" t="s">
        <v>581</v>
      </c>
      <c r="D272" s="2" t="s">
        <v>587</v>
      </c>
      <c r="E272" s="1" t="s">
        <v>596</v>
      </c>
      <c r="F272" s="3">
        <v>35</v>
      </c>
      <c r="G272" s="4">
        <v>145000</v>
      </c>
      <c r="H272" s="5">
        <v>146</v>
      </c>
      <c r="I272" s="6">
        <v>45791</v>
      </c>
      <c r="J272" s="2" t="s">
        <v>597</v>
      </c>
      <c r="K272" s="15">
        <f>PRODUCT(Table242[[#This Row],[Ticket Price]],Table242[[#This Row],[Passenger Count]])</f>
        <v>21170000</v>
      </c>
      <c r="L272" s="15">
        <f>Table242[[#This Row],[Revenue]]*(1-$Q$2)</f>
        <v>19053000</v>
      </c>
      <c r="M272" t="str">
        <f t="shared" si="4"/>
        <v>Late</v>
      </c>
      <c r="N272">
        <f>IF(Table242[[#This Row],[Performance Rating]]="On Time",1,0)</f>
        <v>0</v>
      </c>
    </row>
    <row r="273" spans="1:14" x14ac:dyDescent="0.35">
      <c r="A273" t="s">
        <v>268</v>
      </c>
      <c r="B273" t="s">
        <v>541</v>
      </c>
      <c r="C273" t="s">
        <v>588</v>
      </c>
      <c r="D273" s="2" t="s">
        <v>589</v>
      </c>
      <c r="E273" s="1" t="s">
        <v>592</v>
      </c>
      <c r="F273" s="3">
        <v>155</v>
      </c>
      <c r="G273" s="4">
        <v>75000</v>
      </c>
      <c r="H273" s="5">
        <v>118</v>
      </c>
      <c r="I273" s="6">
        <v>45755</v>
      </c>
      <c r="J273" s="2" t="s">
        <v>597</v>
      </c>
      <c r="K273" s="15">
        <f>PRODUCT(Table242[[#This Row],[Ticket Price]],Table242[[#This Row],[Passenger Count]])</f>
        <v>8850000</v>
      </c>
      <c r="L273" s="15">
        <f>Table242[[#This Row],[Revenue]]*(1-$Q$2)</f>
        <v>7965000</v>
      </c>
      <c r="M273" t="str">
        <f t="shared" si="4"/>
        <v>Late</v>
      </c>
      <c r="N273">
        <f>IF(Table242[[#This Row],[Performance Rating]]="On Time",1,0)</f>
        <v>0</v>
      </c>
    </row>
    <row r="274" spans="1:14" x14ac:dyDescent="0.35">
      <c r="A274" t="s">
        <v>269</v>
      </c>
      <c r="B274" t="s">
        <v>542</v>
      </c>
      <c r="C274" t="s">
        <v>581</v>
      </c>
      <c r="D274" s="2" t="s">
        <v>591</v>
      </c>
      <c r="E274" s="1" t="s">
        <v>592</v>
      </c>
      <c r="F274" s="3">
        <v>101</v>
      </c>
      <c r="G274" s="4">
        <v>65000</v>
      </c>
      <c r="H274" s="5">
        <v>84</v>
      </c>
      <c r="I274" s="6">
        <v>45832</v>
      </c>
      <c r="J274" s="2" t="s">
        <v>598</v>
      </c>
      <c r="K274" s="15">
        <f>PRODUCT(Table242[[#This Row],[Ticket Price]],Table242[[#This Row],[Passenger Count]])</f>
        <v>5460000</v>
      </c>
      <c r="L274" s="15">
        <f>Table242[[#This Row],[Revenue]]*(1-$Q$2)</f>
        <v>4914000</v>
      </c>
      <c r="M274" t="str">
        <f t="shared" si="4"/>
        <v>Late</v>
      </c>
      <c r="N274">
        <f>IF(Table242[[#This Row],[Performance Rating]]="On Time",1,0)</f>
        <v>0</v>
      </c>
    </row>
    <row r="275" spans="1:14" x14ac:dyDescent="0.35">
      <c r="A275" t="s">
        <v>270</v>
      </c>
      <c r="B275" t="s">
        <v>543</v>
      </c>
      <c r="C275" t="s">
        <v>583</v>
      </c>
      <c r="D275" s="2" t="s">
        <v>587</v>
      </c>
      <c r="E275" s="1" t="s">
        <v>596</v>
      </c>
      <c r="F275" s="3">
        <v>164</v>
      </c>
      <c r="G275" s="4">
        <v>35000</v>
      </c>
      <c r="H275" s="5">
        <v>90</v>
      </c>
      <c r="I275" s="6">
        <v>45771</v>
      </c>
      <c r="J275" s="2" t="s">
        <v>598</v>
      </c>
      <c r="K275" s="15">
        <f>PRODUCT(Table242[[#This Row],[Ticket Price]],Table242[[#This Row],[Passenger Count]])</f>
        <v>3150000</v>
      </c>
      <c r="L275" s="15">
        <f>Table242[[#This Row],[Revenue]]*(1-$Q$2)</f>
        <v>2835000</v>
      </c>
      <c r="M275" t="str">
        <f t="shared" si="4"/>
        <v>Late</v>
      </c>
      <c r="N275">
        <f>IF(Table242[[#This Row],[Performance Rating]]="On Time",1,0)</f>
        <v>0</v>
      </c>
    </row>
    <row r="276" spans="1:14" x14ac:dyDescent="0.35">
      <c r="A276" t="s">
        <v>271</v>
      </c>
      <c r="B276" t="s">
        <v>544</v>
      </c>
      <c r="C276" t="s">
        <v>587</v>
      </c>
      <c r="D276" s="2" t="s">
        <v>589</v>
      </c>
      <c r="E276" s="1" t="s">
        <v>593</v>
      </c>
      <c r="F276" s="3">
        <v>54</v>
      </c>
      <c r="G276" s="4">
        <v>105000</v>
      </c>
      <c r="H276" s="5">
        <v>163</v>
      </c>
      <c r="I276" s="6">
        <v>45763</v>
      </c>
      <c r="J276" s="2" t="s">
        <v>597</v>
      </c>
      <c r="K276" s="15">
        <f>PRODUCT(Table242[[#This Row],[Ticket Price]],Table242[[#This Row],[Passenger Count]])</f>
        <v>17115000</v>
      </c>
      <c r="L276" s="15">
        <f>Table242[[#This Row],[Revenue]]*(1-$Q$2)</f>
        <v>15403500</v>
      </c>
      <c r="M276" t="str">
        <f t="shared" si="4"/>
        <v>Late</v>
      </c>
      <c r="N276">
        <f>IF(Table242[[#This Row],[Performance Rating]]="On Time",1,0)</f>
        <v>0</v>
      </c>
    </row>
    <row r="277" spans="1:14" x14ac:dyDescent="0.35">
      <c r="A277" t="s">
        <v>272</v>
      </c>
      <c r="B277" t="s">
        <v>545</v>
      </c>
      <c r="C277" t="s">
        <v>584</v>
      </c>
      <c r="D277" s="2" t="s">
        <v>591</v>
      </c>
      <c r="E277" s="1" t="s">
        <v>592</v>
      </c>
      <c r="F277" s="3">
        <v>63</v>
      </c>
      <c r="G277" s="4">
        <v>35000</v>
      </c>
      <c r="H277" s="5">
        <v>78</v>
      </c>
      <c r="I277" s="6">
        <v>45830</v>
      </c>
      <c r="J277" s="2" t="s">
        <v>597</v>
      </c>
      <c r="K277" s="15">
        <f>PRODUCT(Table242[[#This Row],[Ticket Price]],Table242[[#This Row],[Passenger Count]])</f>
        <v>2730000</v>
      </c>
      <c r="L277" s="15">
        <f>Table242[[#This Row],[Revenue]]*(1-$Q$2)</f>
        <v>2457000</v>
      </c>
      <c r="M277" t="str">
        <f t="shared" si="4"/>
        <v>Late</v>
      </c>
      <c r="N277">
        <f>IF(Table242[[#This Row],[Performance Rating]]="On Time",1,0)</f>
        <v>0</v>
      </c>
    </row>
    <row r="278" spans="1:14" x14ac:dyDescent="0.35">
      <c r="A278" t="s">
        <v>273</v>
      </c>
      <c r="B278" t="s">
        <v>546</v>
      </c>
      <c r="C278" t="s">
        <v>586</v>
      </c>
      <c r="D278" s="2" t="s">
        <v>585</v>
      </c>
      <c r="E278" s="1" t="s">
        <v>592</v>
      </c>
      <c r="F278" s="3">
        <v>171</v>
      </c>
      <c r="G278" s="4">
        <v>140000</v>
      </c>
      <c r="H278" s="5">
        <v>141</v>
      </c>
      <c r="I278" s="6">
        <v>45738</v>
      </c>
      <c r="J278" s="2" t="s">
        <v>597</v>
      </c>
      <c r="K278" s="15">
        <f>PRODUCT(Table242[[#This Row],[Ticket Price]],Table242[[#This Row],[Passenger Count]])</f>
        <v>19740000</v>
      </c>
      <c r="L278" s="15">
        <f>Table242[[#This Row],[Revenue]]*(1-$Q$2)</f>
        <v>17766000</v>
      </c>
      <c r="M278" t="str">
        <f t="shared" si="4"/>
        <v>Late</v>
      </c>
      <c r="N278">
        <f>IF(Table242[[#This Row],[Performance Rating]]="On Time",1,0)</f>
        <v>0</v>
      </c>
    </row>
    <row r="279" spans="1:14" x14ac:dyDescent="0.35">
      <c r="A279" t="s">
        <v>274</v>
      </c>
      <c r="B279" t="s">
        <v>358</v>
      </c>
      <c r="C279" t="s">
        <v>585</v>
      </c>
      <c r="D279" s="2" t="s">
        <v>589</v>
      </c>
      <c r="E279" s="1" t="s">
        <v>596</v>
      </c>
      <c r="F279" s="3">
        <v>46</v>
      </c>
      <c r="G279" s="4">
        <v>35000</v>
      </c>
      <c r="H279" s="5">
        <v>163</v>
      </c>
      <c r="I279" s="6">
        <v>45718</v>
      </c>
      <c r="J279" s="2" t="s">
        <v>598</v>
      </c>
      <c r="K279" s="15">
        <f>PRODUCT(Table242[[#This Row],[Ticket Price]],Table242[[#This Row],[Passenger Count]])</f>
        <v>5705000</v>
      </c>
      <c r="L279" s="15">
        <f>Table242[[#This Row],[Revenue]]*(1-$Q$2)</f>
        <v>5134500</v>
      </c>
      <c r="M279" t="str">
        <f t="shared" si="4"/>
        <v>Late</v>
      </c>
      <c r="N279">
        <f>IF(Table242[[#This Row],[Performance Rating]]="On Time",1,0)</f>
        <v>0</v>
      </c>
    </row>
    <row r="280" spans="1:14" x14ac:dyDescent="0.35">
      <c r="A280" t="s">
        <v>275</v>
      </c>
      <c r="B280" t="s">
        <v>547</v>
      </c>
      <c r="C280" t="s">
        <v>584</v>
      </c>
      <c r="D280" s="2" t="s">
        <v>589</v>
      </c>
      <c r="E280" s="1" t="s">
        <v>596</v>
      </c>
      <c r="F280" s="3">
        <v>73</v>
      </c>
      <c r="G280" s="4">
        <v>140000</v>
      </c>
      <c r="H280" s="5">
        <v>158</v>
      </c>
      <c r="I280" s="6">
        <v>45761</v>
      </c>
      <c r="J280" s="2" t="s">
        <v>598</v>
      </c>
      <c r="K280" s="15">
        <f>PRODUCT(Table242[[#This Row],[Ticket Price]],Table242[[#This Row],[Passenger Count]])</f>
        <v>22120000</v>
      </c>
      <c r="L280" s="15">
        <f>Table242[[#This Row],[Revenue]]*(1-$Q$2)</f>
        <v>19908000</v>
      </c>
      <c r="M280" t="str">
        <f t="shared" si="4"/>
        <v>Late</v>
      </c>
      <c r="N280">
        <f>IF(Table242[[#This Row],[Performance Rating]]="On Time",1,0)</f>
        <v>0</v>
      </c>
    </row>
    <row r="281" spans="1:14" x14ac:dyDescent="0.35">
      <c r="A281" t="s">
        <v>276</v>
      </c>
      <c r="B281" t="s">
        <v>476</v>
      </c>
      <c r="C281" t="s">
        <v>584</v>
      </c>
      <c r="D281" s="2" t="s">
        <v>587</v>
      </c>
      <c r="E281" s="1" t="s">
        <v>596</v>
      </c>
      <c r="F281" s="3">
        <v>173</v>
      </c>
      <c r="G281" s="4">
        <v>120000</v>
      </c>
      <c r="H281" s="5">
        <v>65</v>
      </c>
      <c r="I281" s="6">
        <v>45698</v>
      </c>
      <c r="J281" s="2" t="s">
        <v>597</v>
      </c>
      <c r="K281" s="15">
        <f>PRODUCT(Table242[[#This Row],[Ticket Price]],Table242[[#This Row],[Passenger Count]])</f>
        <v>7800000</v>
      </c>
      <c r="L281" s="15">
        <f>Table242[[#This Row],[Revenue]]*(1-$Q$2)</f>
        <v>7020000</v>
      </c>
      <c r="M281" t="str">
        <f t="shared" si="4"/>
        <v>Late</v>
      </c>
      <c r="N281">
        <f>IF(Table242[[#This Row],[Performance Rating]]="On Time",1,0)</f>
        <v>0</v>
      </c>
    </row>
    <row r="282" spans="1:14" x14ac:dyDescent="0.35">
      <c r="A282" t="s">
        <v>277</v>
      </c>
      <c r="B282" t="s">
        <v>548</v>
      </c>
      <c r="C282" t="s">
        <v>583</v>
      </c>
      <c r="D282" s="2" t="s">
        <v>585</v>
      </c>
      <c r="E282" s="1" t="s">
        <v>595</v>
      </c>
      <c r="F282" s="3">
        <v>174</v>
      </c>
      <c r="G282" s="4">
        <v>115000</v>
      </c>
      <c r="H282" s="5">
        <v>162</v>
      </c>
      <c r="I282" s="6">
        <v>45670</v>
      </c>
      <c r="J282" s="2" t="s">
        <v>597</v>
      </c>
      <c r="K282" s="15">
        <f>PRODUCT(Table242[[#This Row],[Ticket Price]],Table242[[#This Row],[Passenger Count]])</f>
        <v>18630000</v>
      </c>
      <c r="L282" s="15">
        <f>Table242[[#This Row],[Revenue]]*(1-$Q$2)</f>
        <v>16767000</v>
      </c>
      <c r="M282" t="str">
        <f t="shared" si="4"/>
        <v>Late</v>
      </c>
      <c r="N282">
        <f>IF(Table242[[#This Row],[Performance Rating]]="On Time",1,0)</f>
        <v>0</v>
      </c>
    </row>
    <row r="283" spans="1:14" x14ac:dyDescent="0.35">
      <c r="A283" t="s">
        <v>278</v>
      </c>
      <c r="B283" t="s">
        <v>443</v>
      </c>
      <c r="C283" t="s">
        <v>588</v>
      </c>
      <c r="D283" s="2" t="s">
        <v>585</v>
      </c>
      <c r="E283" s="1" t="s">
        <v>592</v>
      </c>
      <c r="F283" s="3">
        <v>-4</v>
      </c>
      <c r="G283" s="4">
        <v>25000</v>
      </c>
      <c r="H283" s="5">
        <v>92</v>
      </c>
      <c r="I283" s="6">
        <v>45755</v>
      </c>
      <c r="J283" s="2" t="s">
        <v>597</v>
      </c>
      <c r="K283" s="15">
        <f>PRODUCT(Table242[[#This Row],[Ticket Price]],Table242[[#This Row],[Passenger Count]])</f>
        <v>2300000</v>
      </c>
      <c r="L283" s="15">
        <f>Table242[[#This Row],[Revenue]]*(1-$Q$2)</f>
        <v>2070000</v>
      </c>
      <c r="M283" t="str">
        <f t="shared" si="4"/>
        <v>On Time</v>
      </c>
      <c r="N283">
        <f>IF(Table242[[#This Row],[Performance Rating]]="On Time",1,0)</f>
        <v>1</v>
      </c>
    </row>
    <row r="284" spans="1:14" x14ac:dyDescent="0.35">
      <c r="A284" t="s">
        <v>279</v>
      </c>
      <c r="B284" t="s">
        <v>549</v>
      </c>
      <c r="C284" t="s">
        <v>581</v>
      </c>
      <c r="D284" s="2" t="s">
        <v>582</v>
      </c>
      <c r="E284" s="1" t="s">
        <v>594</v>
      </c>
      <c r="F284" s="3">
        <v>107</v>
      </c>
      <c r="G284" s="4">
        <v>55000</v>
      </c>
      <c r="H284" s="5">
        <v>86</v>
      </c>
      <c r="I284" s="6">
        <v>45810</v>
      </c>
      <c r="J284" s="2" t="s">
        <v>598</v>
      </c>
      <c r="K284" s="15">
        <f>PRODUCT(Table242[[#This Row],[Ticket Price]],Table242[[#This Row],[Passenger Count]])</f>
        <v>4730000</v>
      </c>
      <c r="L284" s="15">
        <f>Table242[[#This Row],[Revenue]]*(1-$Q$2)</f>
        <v>4257000</v>
      </c>
      <c r="M284" t="str">
        <f t="shared" si="4"/>
        <v>Late</v>
      </c>
      <c r="N284">
        <f>IF(Table242[[#This Row],[Performance Rating]]="On Time",1,0)</f>
        <v>0</v>
      </c>
    </row>
    <row r="285" spans="1:14" x14ac:dyDescent="0.35">
      <c r="A285" t="s">
        <v>280</v>
      </c>
      <c r="B285" t="s">
        <v>550</v>
      </c>
      <c r="C285" t="s">
        <v>588</v>
      </c>
      <c r="D285" s="2" t="s">
        <v>587</v>
      </c>
      <c r="E285" s="1" t="s">
        <v>595</v>
      </c>
      <c r="F285" s="3">
        <v>177</v>
      </c>
      <c r="G285" s="4">
        <v>110000</v>
      </c>
      <c r="H285" s="5">
        <v>123</v>
      </c>
      <c r="I285" s="6">
        <v>45734</v>
      </c>
      <c r="J285" s="2" t="s">
        <v>598</v>
      </c>
      <c r="K285" s="15">
        <f>PRODUCT(Table242[[#This Row],[Ticket Price]],Table242[[#This Row],[Passenger Count]])</f>
        <v>13530000</v>
      </c>
      <c r="L285" s="15">
        <f>Table242[[#This Row],[Revenue]]*(1-$Q$2)</f>
        <v>12177000</v>
      </c>
      <c r="M285" t="str">
        <f t="shared" si="4"/>
        <v>Late</v>
      </c>
      <c r="N285">
        <f>IF(Table242[[#This Row],[Performance Rating]]="On Time",1,0)</f>
        <v>0</v>
      </c>
    </row>
    <row r="286" spans="1:14" x14ac:dyDescent="0.35">
      <c r="A286" t="s">
        <v>281</v>
      </c>
      <c r="B286" t="s">
        <v>551</v>
      </c>
      <c r="C286" t="s">
        <v>585</v>
      </c>
      <c r="D286" s="2" t="s">
        <v>587</v>
      </c>
      <c r="E286" s="1" t="s">
        <v>592</v>
      </c>
      <c r="F286" s="3">
        <v>59</v>
      </c>
      <c r="G286" s="4">
        <v>30000</v>
      </c>
      <c r="H286" s="5">
        <v>165</v>
      </c>
      <c r="I286" s="6">
        <v>45829</v>
      </c>
      <c r="J286" s="2" t="s">
        <v>597</v>
      </c>
      <c r="K286" s="15">
        <f>PRODUCT(Table242[[#This Row],[Ticket Price]],Table242[[#This Row],[Passenger Count]])</f>
        <v>4950000</v>
      </c>
      <c r="L286" s="15">
        <f>Table242[[#This Row],[Revenue]]*(1-$Q$2)</f>
        <v>4455000</v>
      </c>
      <c r="M286" t="str">
        <f t="shared" si="4"/>
        <v>Late</v>
      </c>
      <c r="N286">
        <f>IF(Table242[[#This Row],[Performance Rating]]="On Time",1,0)</f>
        <v>0</v>
      </c>
    </row>
    <row r="287" spans="1:14" x14ac:dyDescent="0.35">
      <c r="A287" t="s">
        <v>282</v>
      </c>
      <c r="B287" t="s">
        <v>552</v>
      </c>
      <c r="C287" t="s">
        <v>581</v>
      </c>
      <c r="D287" s="2" t="s">
        <v>591</v>
      </c>
      <c r="E287" s="1" t="s">
        <v>594</v>
      </c>
      <c r="F287" s="3">
        <v>102</v>
      </c>
      <c r="G287" s="4">
        <v>70000</v>
      </c>
      <c r="H287" s="5">
        <v>74</v>
      </c>
      <c r="I287" s="6">
        <v>45675</v>
      </c>
      <c r="J287" s="2" t="s">
        <v>598</v>
      </c>
      <c r="K287" s="15">
        <f>PRODUCT(Table242[[#This Row],[Ticket Price]],Table242[[#This Row],[Passenger Count]])</f>
        <v>5180000</v>
      </c>
      <c r="L287" s="15">
        <f>Table242[[#This Row],[Revenue]]*(1-$Q$2)</f>
        <v>4662000</v>
      </c>
      <c r="M287" t="str">
        <f t="shared" si="4"/>
        <v>Late</v>
      </c>
      <c r="N287">
        <f>IF(Table242[[#This Row],[Performance Rating]]="On Time",1,0)</f>
        <v>0</v>
      </c>
    </row>
    <row r="288" spans="1:14" x14ac:dyDescent="0.35">
      <c r="A288" t="s">
        <v>283</v>
      </c>
      <c r="B288" t="s">
        <v>353</v>
      </c>
      <c r="C288" t="s">
        <v>581</v>
      </c>
      <c r="D288" s="2" t="s">
        <v>584</v>
      </c>
      <c r="E288" s="1" t="s">
        <v>592</v>
      </c>
      <c r="F288" s="3">
        <v>106</v>
      </c>
      <c r="G288" s="4">
        <v>50000</v>
      </c>
      <c r="H288" s="5">
        <v>97</v>
      </c>
      <c r="I288" s="6">
        <v>45713</v>
      </c>
      <c r="J288" s="2" t="s">
        <v>598</v>
      </c>
      <c r="K288" s="15">
        <f>PRODUCT(Table242[[#This Row],[Ticket Price]],Table242[[#This Row],[Passenger Count]])</f>
        <v>4850000</v>
      </c>
      <c r="L288" s="15">
        <f>Table242[[#This Row],[Revenue]]*(1-$Q$2)</f>
        <v>4365000</v>
      </c>
      <c r="M288" t="str">
        <f t="shared" si="4"/>
        <v>Late</v>
      </c>
      <c r="N288">
        <f>IF(Table242[[#This Row],[Performance Rating]]="On Time",1,0)</f>
        <v>0</v>
      </c>
    </row>
    <row r="289" spans="1:14" x14ac:dyDescent="0.35">
      <c r="A289" t="s">
        <v>284</v>
      </c>
      <c r="B289" t="s">
        <v>553</v>
      </c>
      <c r="C289" t="s">
        <v>583</v>
      </c>
      <c r="D289" s="2" t="s">
        <v>587</v>
      </c>
      <c r="E289" s="1" t="s">
        <v>596</v>
      </c>
      <c r="F289" s="3">
        <v>25</v>
      </c>
      <c r="G289" s="4">
        <v>120000</v>
      </c>
      <c r="H289" s="5">
        <v>132</v>
      </c>
      <c r="I289" s="6">
        <v>45834</v>
      </c>
      <c r="J289" s="2" t="s">
        <v>598</v>
      </c>
      <c r="K289" s="15">
        <f>PRODUCT(Table242[[#This Row],[Ticket Price]],Table242[[#This Row],[Passenger Count]])</f>
        <v>15840000</v>
      </c>
      <c r="L289" s="15">
        <f>Table242[[#This Row],[Revenue]]*(1-$Q$2)</f>
        <v>14256000</v>
      </c>
      <c r="M289" t="str">
        <f t="shared" si="4"/>
        <v>Slight Delay</v>
      </c>
      <c r="N289">
        <f>IF(Table242[[#This Row],[Performance Rating]]="On Time",1,0)</f>
        <v>0</v>
      </c>
    </row>
    <row r="290" spans="1:14" x14ac:dyDescent="0.35">
      <c r="A290" t="s">
        <v>285</v>
      </c>
      <c r="B290" t="s">
        <v>554</v>
      </c>
      <c r="C290" t="s">
        <v>583</v>
      </c>
      <c r="D290" s="2" t="s">
        <v>587</v>
      </c>
      <c r="E290" s="1" t="s">
        <v>596</v>
      </c>
      <c r="F290" s="3">
        <v>90</v>
      </c>
      <c r="G290" s="4">
        <v>35000</v>
      </c>
      <c r="H290" s="5">
        <v>79</v>
      </c>
      <c r="I290" s="6">
        <v>45662</v>
      </c>
      <c r="J290" s="2" t="s">
        <v>597</v>
      </c>
      <c r="K290" s="15">
        <f>PRODUCT(Table242[[#This Row],[Ticket Price]],Table242[[#This Row],[Passenger Count]])</f>
        <v>2765000</v>
      </c>
      <c r="L290" s="15">
        <f>Table242[[#This Row],[Revenue]]*(1-$Q$2)</f>
        <v>2488500</v>
      </c>
      <c r="M290" t="str">
        <f t="shared" si="4"/>
        <v>Late</v>
      </c>
      <c r="N290">
        <f>IF(Table242[[#This Row],[Performance Rating]]="On Time",1,0)</f>
        <v>0</v>
      </c>
    </row>
    <row r="291" spans="1:14" x14ac:dyDescent="0.35">
      <c r="A291" t="s">
        <v>286</v>
      </c>
      <c r="B291" t="s">
        <v>555</v>
      </c>
      <c r="C291" t="s">
        <v>581</v>
      </c>
      <c r="D291" s="2" t="s">
        <v>584</v>
      </c>
      <c r="E291" s="1" t="s">
        <v>593</v>
      </c>
      <c r="F291" s="3">
        <v>54</v>
      </c>
      <c r="G291" s="4">
        <v>125000</v>
      </c>
      <c r="H291" s="5">
        <v>128</v>
      </c>
      <c r="I291" s="6">
        <v>45696</v>
      </c>
      <c r="J291" s="2" t="s">
        <v>597</v>
      </c>
      <c r="K291" s="15">
        <f>PRODUCT(Table242[[#This Row],[Ticket Price]],Table242[[#This Row],[Passenger Count]])</f>
        <v>16000000</v>
      </c>
      <c r="L291" s="15">
        <f>Table242[[#This Row],[Revenue]]*(1-$Q$2)</f>
        <v>14400000</v>
      </c>
      <c r="M291" t="str">
        <f t="shared" si="4"/>
        <v>Late</v>
      </c>
      <c r="N291">
        <f>IF(Table242[[#This Row],[Performance Rating]]="On Time",1,0)</f>
        <v>0</v>
      </c>
    </row>
    <row r="292" spans="1:14" x14ac:dyDescent="0.35">
      <c r="A292" t="s">
        <v>287</v>
      </c>
      <c r="B292" t="s">
        <v>468</v>
      </c>
      <c r="C292" t="s">
        <v>581</v>
      </c>
      <c r="D292" s="2" t="s">
        <v>583</v>
      </c>
      <c r="E292" s="1" t="s">
        <v>594</v>
      </c>
      <c r="F292" s="3">
        <v>29</v>
      </c>
      <c r="G292" s="4">
        <v>100000</v>
      </c>
      <c r="H292" s="5">
        <v>100</v>
      </c>
      <c r="I292" s="6">
        <v>45818</v>
      </c>
      <c r="J292" s="2" t="s">
        <v>597</v>
      </c>
      <c r="K292" s="15">
        <f>PRODUCT(Table242[[#This Row],[Ticket Price]],Table242[[#This Row],[Passenger Count]])</f>
        <v>10000000</v>
      </c>
      <c r="L292" s="15">
        <f>Table242[[#This Row],[Revenue]]*(1-$Q$2)</f>
        <v>9000000</v>
      </c>
      <c r="M292" t="str">
        <f t="shared" si="4"/>
        <v>Slight Delay</v>
      </c>
      <c r="N292">
        <f>IF(Table242[[#This Row],[Performance Rating]]="On Time",1,0)</f>
        <v>0</v>
      </c>
    </row>
    <row r="293" spans="1:14" x14ac:dyDescent="0.35">
      <c r="A293" t="s">
        <v>288</v>
      </c>
      <c r="B293" t="s">
        <v>461</v>
      </c>
      <c r="C293" t="s">
        <v>585</v>
      </c>
      <c r="D293" s="2" t="s">
        <v>590</v>
      </c>
      <c r="E293" s="1" t="s">
        <v>594</v>
      </c>
      <c r="F293" s="3">
        <v>64</v>
      </c>
      <c r="G293" s="4">
        <v>55000</v>
      </c>
      <c r="H293" s="5">
        <v>128</v>
      </c>
      <c r="I293" s="6">
        <v>45781</v>
      </c>
      <c r="J293" s="2" t="s">
        <v>597</v>
      </c>
      <c r="K293" s="15">
        <f>PRODUCT(Table242[[#This Row],[Ticket Price]],Table242[[#This Row],[Passenger Count]])</f>
        <v>7040000</v>
      </c>
      <c r="L293" s="15">
        <f>Table242[[#This Row],[Revenue]]*(1-$Q$2)</f>
        <v>6336000</v>
      </c>
      <c r="M293" t="str">
        <f t="shared" si="4"/>
        <v>Late</v>
      </c>
      <c r="N293">
        <f>IF(Table242[[#This Row],[Performance Rating]]="On Time",1,0)</f>
        <v>0</v>
      </c>
    </row>
    <row r="294" spans="1:14" x14ac:dyDescent="0.35">
      <c r="A294" t="s">
        <v>289</v>
      </c>
      <c r="B294" t="s">
        <v>556</v>
      </c>
      <c r="C294" t="s">
        <v>586</v>
      </c>
      <c r="D294" s="2" t="s">
        <v>582</v>
      </c>
      <c r="E294" s="1" t="s">
        <v>594</v>
      </c>
      <c r="F294" s="3">
        <v>66</v>
      </c>
      <c r="G294" s="4">
        <v>110000</v>
      </c>
      <c r="H294" s="5">
        <v>161</v>
      </c>
      <c r="I294" s="6">
        <v>45737</v>
      </c>
      <c r="J294" s="2" t="s">
        <v>597</v>
      </c>
      <c r="K294" s="15">
        <f>PRODUCT(Table242[[#This Row],[Ticket Price]],Table242[[#This Row],[Passenger Count]])</f>
        <v>17710000</v>
      </c>
      <c r="L294" s="15">
        <f>Table242[[#This Row],[Revenue]]*(1-$Q$2)</f>
        <v>15939000</v>
      </c>
      <c r="M294" t="str">
        <f t="shared" si="4"/>
        <v>Late</v>
      </c>
      <c r="N294">
        <f>IF(Table242[[#This Row],[Performance Rating]]="On Time",1,0)</f>
        <v>0</v>
      </c>
    </row>
    <row r="295" spans="1:14" x14ac:dyDescent="0.35">
      <c r="A295" t="s">
        <v>290</v>
      </c>
      <c r="B295" t="s">
        <v>557</v>
      </c>
      <c r="C295" t="s">
        <v>585</v>
      </c>
      <c r="D295" s="2" t="s">
        <v>584</v>
      </c>
      <c r="E295" s="1" t="s">
        <v>593</v>
      </c>
      <c r="F295" s="3">
        <v>21</v>
      </c>
      <c r="G295" s="4">
        <v>90000</v>
      </c>
      <c r="H295" s="5">
        <v>126</v>
      </c>
      <c r="I295" s="6">
        <v>45833</v>
      </c>
      <c r="J295" s="2" t="s">
        <v>598</v>
      </c>
      <c r="K295" s="15">
        <f>PRODUCT(Table242[[#This Row],[Ticket Price]],Table242[[#This Row],[Passenger Count]])</f>
        <v>11340000</v>
      </c>
      <c r="L295" s="15">
        <f>Table242[[#This Row],[Revenue]]*(1-$Q$2)</f>
        <v>10206000</v>
      </c>
      <c r="M295" t="str">
        <f t="shared" si="4"/>
        <v>Slight Delay</v>
      </c>
      <c r="N295">
        <f>IF(Table242[[#This Row],[Performance Rating]]="On Time",1,0)</f>
        <v>0</v>
      </c>
    </row>
    <row r="296" spans="1:14" x14ac:dyDescent="0.35">
      <c r="A296" t="s">
        <v>291</v>
      </c>
      <c r="B296" t="s">
        <v>558</v>
      </c>
      <c r="C296" t="s">
        <v>584</v>
      </c>
      <c r="D296" s="2" t="s">
        <v>583</v>
      </c>
      <c r="E296" s="1" t="s">
        <v>596</v>
      </c>
      <c r="F296" s="3">
        <v>132</v>
      </c>
      <c r="G296" s="4">
        <v>115000</v>
      </c>
      <c r="H296" s="5">
        <v>170</v>
      </c>
      <c r="I296" s="6">
        <v>45798</v>
      </c>
      <c r="J296" s="2" t="s">
        <v>598</v>
      </c>
      <c r="K296" s="15">
        <f>PRODUCT(Table242[[#This Row],[Ticket Price]],Table242[[#This Row],[Passenger Count]])</f>
        <v>19550000</v>
      </c>
      <c r="L296" s="15">
        <f>Table242[[#This Row],[Revenue]]*(1-$Q$2)</f>
        <v>17595000</v>
      </c>
      <c r="M296" t="str">
        <f t="shared" si="4"/>
        <v>Late</v>
      </c>
      <c r="N296">
        <f>IF(Table242[[#This Row],[Performance Rating]]="On Time",1,0)</f>
        <v>0</v>
      </c>
    </row>
    <row r="297" spans="1:14" x14ac:dyDescent="0.35">
      <c r="A297" t="s">
        <v>292</v>
      </c>
      <c r="B297" t="s">
        <v>434</v>
      </c>
      <c r="C297" t="s">
        <v>587</v>
      </c>
      <c r="D297" s="2" t="s">
        <v>585</v>
      </c>
      <c r="E297" s="1" t="s">
        <v>592</v>
      </c>
      <c r="F297" s="3">
        <v>177</v>
      </c>
      <c r="G297" s="4">
        <v>30000</v>
      </c>
      <c r="H297" s="5">
        <v>168</v>
      </c>
      <c r="I297" s="6">
        <v>45724</v>
      </c>
      <c r="J297" s="2" t="s">
        <v>598</v>
      </c>
      <c r="K297" s="15">
        <f>PRODUCT(Table242[[#This Row],[Ticket Price]],Table242[[#This Row],[Passenger Count]])</f>
        <v>5040000</v>
      </c>
      <c r="L297" s="15">
        <f>Table242[[#This Row],[Revenue]]*(1-$Q$2)</f>
        <v>4536000</v>
      </c>
      <c r="M297" t="str">
        <f t="shared" si="4"/>
        <v>Late</v>
      </c>
      <c r="N297">
        <f>IF(Table242[[#This Row],[Performance Rating]]="On Time",1,0)</f>
        <v>0</v>
      </c>
    </row>
    <row r="298" spans="1:14" x14ac:dyDescent="0.35">
      <c r="A298" t="s">
        <v>293</v>
      </c>
      <c r="B298" t="s">
        <v>362</v>
      </c>
      <c r="C298" t="s">
        <v>587</v>
      </c>
      <c r="D298" s="2" t="s">
        <v>582</v>
      </c>
      <c r="E298" s="1" t="s">
        <v>593</v>
      </c>
      <c r="F298" s="3">
        <v>-3</v>
      </c>
      <c r="G298" s="4">
        <v>65000</v>
      </c>
      <c r="H298" s="5">
        <v>170</v>
      </c>
      <c r="I298" s="6">
        <v>45713</v>
      </c>
      <c r="J298" s="2" t="s">
        <v>597</v>
      </c>
      <c r="K298" s="15">
        <f>PRODUCT(Table242[[#This Row],[Ticket Price]],Table242[[#This Row],[Passenger Count]])</f>
        <v>11050000</v>
      </c>
      <c r="L298" s="15">
        <f>Table242[[#This Row],[Revenue]]*(1-$Q$2)</f>
        <v>9945000</v>
      </c>
      <c r="M298" t="str">
        <f t="shared" si="4"/>
        <v>On Time</v>
      </c>
      <c r="N298">
        <f>IF(Table242[[#This Row],[Performance Rating]]="On Time",1,0)</f>
        <v>1</v>
      </c>
    </row>
    <row r="299" spans="1:14" x14ac:dyDescent="0.35">
      <c r="A299" t="s">
        <v>294</v>
      </c>
      <c r="B299" t="s">
        <v>559</v>
      </c>
      <c r="C299" t="s">
        <v>586</v>
      </c>
      <c r="D299" s="2" t="s">
        <v>589</v>
      </c>
      <c r="E299" s="1" t="s">
        <v>594</v>
      </c>
      <c r="F299" s="3">
        <v>51</v>
      </c>
      <c r="G299" s="4">
        <v>60000</v>
      </c>
      <c r="H299" s="5">
        <v>84</v>
      </c>
      <c r="I299" s="6">
        <v>45735</v>
      </c>
      <c r="J299" s="2" t="s">
        <v>598</v>
      </c>
      <c r="K299" s="15">
        <f>PRODUCT(Table242[[#This Row],[Ticket Price]],Table242[[#This Row],[Passenger Count]])</f>
        <v>5040000</v>
      </c>
      <c r="L299" s="15">
        <f>Table242[[#This Row],[Revenue]]*(1-$Q$2)</f>
        <v>4536000</v>
      </c>
      <c r="M299" t="str">
        <f t="shared" si="4"/>
        <v>Late</v>
      </c>
      <c r="N299">
        <f>IF(Table242[[#This Row],[Performance Rating]]="On Time",1,0)</f>
        <v>0</v>
      </c>
    </row>
    <row r="300" spans="1:14" x14ac:dyDescent="0.35">
      <c r="A300" t="s">
        <v>295</v>
      </c>
      <c r="B300" t="s">
        <v>358</v>
      </c>
      <c r="C300" t="s">
        <v>584</v>
      </c>
      <c r="D300" s="2" t="s">
        <v>591</v>
      </c>
      <c r="E300" s="1" t="s">
        <v>594</v>
      </c>
      <c r="F300" s="3">
        <v>138</v>
      </c>
      <c r="G300" s="4">
        <v>35000</v>
      </c>
      <c r="H300" s="5">
        <v>135</v>
      </c>
      <c r="I300" s="6">
        <v>45833</v>
      </c>
      <c r="J300" s="2" t="s">
        <v>597</v>
      </c>
      <c r="K300" s="15">
        <f>PRODUCT(Table242[[#This Row],[Ticket Price]],Table242[[#This Row],[Passenger Count]])</f>
        <v>4725000</v>
      </c>
      <c r="L300" s="15">
        <f>Table242[[#This Row],[Revenue]]*(1-$Q$2)</f>
        <v>4252500</v>
      </c>
      <c r="M300" t="str">
        <f t="shared" si="4"/>
        <v>Late</v>
      </c>
      <c r="N300">
        <f>IF(Table242[[#This Row],[Performance Rating]]="On Time",1,0)</f>
        <v>0</v>
      </c>
    </row>
    <row r="301" spans="1:14" x14ac:dyDescent="0.35">
      <c r="A301" t="s">
        <v>296</v>
      </c>
      <c r="B301" t="s">
        <v>560</v>
      </c>
      <c r="C301" t="s">
        <v>585</v>
      </c>
      <c r="D301" s="2" t="s">
        <v>591</v>
      </c>
      <c r="E301" s="1" t="s">
        <v>592</v>
      </c>
      <c r="F301" s="3">
        <v>22</v>
      </c>
      <c r="G301" s="4">
        <v>100000</v>
      </c>
      <c r="H301" s="5">
        <v>117</v>
      </c>
      <c r="I301" s="6">
        <v>45776</v>
      </c>
      <c r="J301" s="2" t="s">
        <v>597</v>
      </c>
      <c r="K301" s="15">
        <f>PRODUCT(Table242[[#This Row],[Ticket Price]],Table242[[#This Row],[Passenger Count]])</f>
        <v>11700000</v>
      </c>
      <c r="L301" s="15">
        <f>Table242[[#This Row],[Revenue]]*(1-$Q$2)</f>
        <v>10530000</v>
      </c>
      <c r="M301" t="str">
        <f t="shared" si="4"/>
        <v>Slight Delay</v>
      </c>
      <c r="N301">
        <f>IF(Table242[[#This Row],[Performance Rating]]="On Time",1,0)</f>
        <v>0</v>
      </c>
    </row>
    <row r="302" spans="1:14" x14ac:dyDescent="0.35">
      <c r="A302" t="s">
        <v>297</v>
      </c>
      <c r="B302" t="s">
        <v>425</v>
      </c>
      <c r="C302" t="s">
        <v>583</v>
      </c>
      <c r="D302" s="2" t="s">
        <v>591</v>
      </c>
      <c r="E302" s="1" t="s">
        <v>595</v>
      </c>
      <c r="F302" s="3">
        <v>126</v>
      </c>
      <c r="G302" s="4">
        <v>75000</v>
      </c>
      <c r="H302" s="5">
        <v>83</v>
      </c>
      <c r="I302" s="6">
        <v>45696</v>
      </c>
      <c r="J302" s="2" t="s">
        <v>597</v>
      </c>
      <c r="K302" s="15">
        <f>PRODUCT(Table242[[#This Row],[Ticket Price]],Table242[[#This Row],[Passenger Count]])</f>
        <v>6225000</v>
      </c>
      <c r="L302" s="15">
        <f>Table242[[#This Row],[Revenue]]*(1-$Q$2)</f>
        <v>5602500</v>
      </c>
      <c r="M302" t="str">
        <f t="shared" si="4"/>
        <v>Late</v>
      </c>
      <c r="N302">
        <f>IF(Table242[[#This Row],[Performance Rating]]="On Time",1,0)</f>
        <v>0</v>
      </c>
    </row>
    <row r="303" spans="1:14" x14ac:dyDescent="0.35">
      <c r="A303" t="s">
        <v>298</v>
      </c>
      <c r="B303" t="s">
        <v>561</v>
      </c>
      <c r="C303" t="s">
        <v>584</v>
      </c>
      <c r="D303" s="2" t="s">
        <v>583</v>
      </c>
      <c r="E303" s="1" t="s">
        <v>592</v>
      </c>
      <c r="F303" s="3">
        <v>74</v>
      </c>
      <c r="G303" s="4">
        <v>55000</v>
      </c>
      <c r="H303" s="5">
        <v>156</v>
      </c>
      <c r="I303" s="6">
        <v>45773</v>
      </c>
      <c r="J303" s="2" t="s">
        <v>597</v>
      </c>
      <c r="K303" s="15">
        <f>PRODUCT(Table242[[#This Row],[Ticket Price]],Table242[[#This Row],[Passenger Count]])</f>
        <v>8580000</v>
      </c>
      <c r="L303" s="15">
        <f>Table242[[#This Row],[Revenue]]*(1-$Q$2)</f>
        <v>7722000</v>
      </c>
      <c r="M303" t="str">
        <f t="shared" si="4"/>
        <v>Late</v>
      </c>
      <c r="N303">
        <f>IF(Table242[[#This Row],[Performance Rating]]="On Time",1,0)</f>
        <v>0</v>
      </c>
    </row>
    <row r="304" spans="1:14" x14ac:dyDescent="0.35">
      <c r="A304" t="s">
        <v>299</v>
      </c>
      <c r="B304" t="s">
        <v>562</v>
      </c>
      <c r="C304" t="s">
        <v>587</v>
      </c>
      <c r="D304" s="2" t="s">
        <v>590</v>
      </c>
      <c r="E304" s="1" t="s">
        <v>596</v>
      </c>
      <c r="F304" s="3">
        <v>56</v>
      </c>
      <c r="G304" s="4">
        <v>145000</v>
      </c>
      <c r="H304" s="5">
        <v>133</v>
      </c>
      <c r="I304" s="6">
        <v>45824</v>
      </c>
      <c r="J304" s="2" t="s">
        <v>598</v>
      </c>
      <c r="K304" s="15">
        <f>PRODUCT(Table242[[#This Row],[Ticket Price]],Table242[[#This Row],[Passenger Count]])</f>
        <v>19285000</v>
      </c>
      <c r="L304" s="15">
        <f>Table242[[#This Row],[Revenue]]*(1-$Q$2)</f>
        <v>17356500</v>
      </c>
      <c r="M304" t="str">
        <f t="shared" si="4"/>
        <v>Late</v>
      </c>
      <c r="N304">
        <f>IF(Table242[[#This Row],[Performance Rating]]="On Time",1,0)</f>
        <v>0</v>
      </c>
    </row>
    <row r="305" spans="1:14" x14ac:dyDescent="0.35">
      <c r="A305" t="s">
        <v>300</v>
      </c>
      <c r="B305" t="s">
        <v>468</v>
      </c>
      <c r="C305" t="s">
        <v>587</v>
      </c>
      <c r="D305" s="2" t="s">
        <v>589</v>
      </c>
      <c r="E305" s="1" t="s">
        <v>594</v>
      </c>
      <c r="F305" s="3">
        <v>138</v>
      </c>
      <c r="G305" s="4">
        <v>90000</v>
      </c>
      <c r="H305" s="5">
        <v>144</v>
      </c>
      <c r="I305" s="6">
        <v>45675</v>
      </c>
      <c r="J305" s="2" t="s">
        <v>598</v>
      </c>
      <c r="K305" s="15">
        <f>PRODUCT(Table242[[#This Row],[Ticket Price]],Table242[[#This Row],[Passenger Count]])</f>
        <v>12960000</v>
      </c>
      <c r="L305" s="15">
        <f>Table242[[#This Row],[Revenue]]*(1-$Q$2)</f>
        <v>11664000</v>
      </c>
      <c r="M305" t="str">
        <f t="shared" si="4"/>
        <v>Late</v>
      </c>
      <c r="N305">
        <f>IF(Table242[[#This Row],[Performance Rating]]="On Time",1,0)</f>
        <v>0</v>
      </c>
    </row>
    <row r="306" spans="1:14" x14ac:dyDescent="0.35">
      <c r="A306" t="s">
        <v>301</v>
      </c>
      <c r="B306" t="s">
        <v>436</v>
      </c>
      <c r="C306" t="s">
        <v>586</v>
      </c>
      <c r="D306" s="2" t="s">
        <v>590</v>
      </c>
      <c r="E306" s="1" t="s">
        <v>595</v>
      </c>
      <c r="F306" s="3">
        <v>81</v>
      </c>
      <c r="G306" s="4">
        <v>125000</v>
      </c>
      <c r="H306" s="5">
        <v>129</v>
      </c>
      <c r="I306" s="6">
        <v>45767</v>
      </c>
      <c r="J306" s="2" t="s">
        <v>597</v>
      </c>
      <c r="K306" s="15">
        <f>PRODUCT(Table242[[#This Row],[Ticket Price]],Table242[[#This Row],[Passenger Count]])</f>
        <v>16125000</v>
      </c>
      <c r="L306" s="15">
        <f>Table242[[#This Row],[Revenue]]*(1-$Q$2)</f>
        <v>14512500</v>
      </c>
      <c r="M306" t="str">
        <f t="shared" si="4"/>
        <v>Late</v>
      </c>
      <c r="N306">
        <f>IF(Table242[[#This Row],[Performance Rating]]="On Time",1,0)</f>
        <v>0</v>
      </c>
    </row>
    <row r="307" spans="1:14" x14ac:dyDescent="0.35">
      <c r="A307" t="s">
        <v>302</v>
      </c>
      <c r="B307" t="s">
        <v>563</v>
      </c>
      <c r="C307" t="s">
        <v>587</v>
      </c>
      <c r="D307" s="2" t="s">
        <v>584</v>
      </c>
      <c r="E307" s="1" t="s">
        <v>593</v>
      </c>
      <c r="F307" s="3">
        <v>103</v>
      </c>
      <c r="G307" s="4">
        <v>150000</v>
      </c>
      <c r="H307" s="5">
        <v>126</v>
      </c>
      <c r="I307" s="6">
        <v>45735</v>
      </c>
      <c r="J307" s="2" t="s">
        <v>598</v>
      </c>
      <c r="K307" s="15">
        <f>PRODUCT(Table242[[#This Row],[Ticket Price]],Table242[[#This Row],[Passenger Count]])</f>
        <v>18900000</v>
      </c>
      <c r="L307" s="15">
        <f>Table242[[#This Row],[Revenue]]*(1-$Q$2)</f>
        <v>17010000</v>
      </c>
      <c r="M307" t="str">
        <f t="shared" si="4"/>
        <v>Late</v>
      </c>
      <c r="N307">
        <f>IF(Table242[[#This Row],[Performance Rating]]="On Time",1,0)</f>
        <v>0</v>
      </c>
    </row>
    <row r="308" spans="1:14" x14ac:dyDescent="0.35">
      <c r="A308" t="s">
        <v>303</v>
      </c>
      <c r="B308" t="s">
        <v>564</v>
      </c>
      <c r="C308" t="s">
        <v>587</v>
      </c>
      <c r="D308" s="2" t="s">
        <v>585</v>
      </c>
      <c r="E308" s="1" t="s">
        <v>596</v>
      </c>
      <c r="F308" s="3">
        <v>175</v>
      </c>
      <c r="G308" s="4">
        <v>140000</v>
      </c>
      <c r="H308" s="5">
        <v>70</v>
      </c>
      <c r="I308" s="6">
        <v>45811</v>
      </c>
      <c r="J308" s="2" t="s">
        <v>598</v>
      </c>
      <c r="K308" s="15">
        <f>PRODUCT(Table242[[#This Row],[Ticket Price]],Table242[[#This Row],[Passenger Count]])</f>
        <v>9800000</v>
      </c>
      <c r="L308" s="15">
        <f>Table242[[#This Row],[Revenue]]*(1-$Q$2)</f>
        <v>8820000</v>
      </c>
      <c r="M308" t="str">
        <f t="shared" si="4"/>
        <v>Late</v>
      </c>
      <c r="N308">
        <f>IF(Table242[[#This Row],[Performance Rating]]="On Time",1,0)</f>
        <v>0</v>
      </c>
    </row>
    <row r="309" spans="1:14" x14ac:dyDescent="0.35">
      <c r="A309" t="s">
        <v>304</v>
      </c>
      <c r="B309" t="s">
        <v>540</v>
      </c>
      <c r="C309" t="s">
        <v>584</v>
      </c>
      <c r="D309" s="2" t="s">
        <v>589</v>
      </c>
      <c r="E309" s="1" t="s">
        <v>593</v>
      </c>
      <c r="F309" s="3">
        <v>133</v>
      </c>
      <c r="G309" s="4">
        <v>115000</v>
      </c>
      <c r="H309" s="5">
        <v>107</v>
      </c>
      <c r="I309" s="6">
        <v>45820</v>
      </c>
      <c r="J309" s="2" t="s">
        <v>598</v>
      </c>
      <c r="K309" s="15">
        <f>PRODUCT(Table242[[#This Row],[Ticket Price]],Table242[[#This Row],[Passenger Count]])</f>
        <v>12305000</v>
      </c>
      <c r="L309" s="15">
        <f>Table242[[#This Row],[Revenue]]*(1-$Q$2)</f>
        <v>11074500</v>
      </c>
      <c r="M309" t="str">
        <f t="shared" si="4"/>
        <v>Late</v>
      </c>
      <c r="N309">
        <f>IF(Table242[[#This Row],[Performance Rating]]="On Time",1,0)</f>
        <v>0</v>
      </c>
    </row>
    <row r="310" spans="1:14" x14ac:dyDescent="0.35">
      <c r="A310" t="s">
        <v>305</v>
      </c>
      <c r="B310" t="s">
        <v>565</v>
      </c>
      <c r="C310" t="s">
        <v>583</v>
      </c>
      <c r="D310" s="2" t="s">
        <v>590</v>
      </c>
      <c r="E310" s="1" t="s">
        <v>594</v>
      </c>
      <c r="F310" s="3">
        <v>176</v>
      </c>
      <c r="G310" s="4">
        <v>110000</v>
      </c>
      <c r="H310" s="5">
        <v>114</v>
      </c>
      <c r="I310" s="6">
        <v>45829</v>
      </c>
      <c r="J310" s="2" t="s">
        <v>598</v>
      </c>
      <c r="K310" s="15">
        <f>PRODUCT(Table242[[#This Row],[Ticket Price]],Table242[[#This Row],[Passenger Count]])</f>
        <v>12540000</v>
      </c>
      <c r="L310" s="15">
        <f>Table242[[#This Row],[Revenue]]*(1-$Q$2)</f>
        <v>11286000</v>
      </c>
      <c r="M310" t="str">
        <f t="shared" si="4"/>
        <v>Late</v>
      </c>
      <c r="N310">
        <f>IF(Table242[[#This Row],[Performance Rating]]="On Time",1,0)</f>
        <v>0</v>
      </c>
    </row>
    <row r="311" spans="1:14" x14ac:dyDescent="0.35">
      <c r="A311" t="s">
        <v>306</v>
      </c>
      <c r="B311" t="s">
        <v>428</v>
      </c>
      <c r="C311" t="s">
        <v>587</v>
      </c>
      <c r="D311" s="2" t="s">
        <v>583</v>
      </c>
      <c r="E311" s="1" t="s">
        <v>595</v>
      </c>
      <c r="F311" s="3">
        <v>147</v>
      </c>
      <c r="G311" s="4">
        <v>60000</v>
      </c>
      <c r="H311" s="5">
        <v>83</v>
      </c>
      <c r="I311" s="6">
        <v>45690</v>
      </c>
      <c r="J311" s="2" t="s">
        <v>597</v>
      </c>
      <c r="K311" s="15">
        <f>PRODUCT(Table242[[#This Row],[Ticket Price]],Table242[[#This Row],[Passenger Count]])</f>
        <v>4980000</v>
      </c>
      <c r="L311" s="15">
        <f>Table242[[#This Row],[Revenue]]*(1-$Q$2)</f>
        <v>4482000</v>
      </c>
      <c r="M311" t="str">
        <f t="shared" si="4"/>
        <v>Late</v>
      </c>
      <c r="N311">
        <f>IF(Table242[[#This Row],[Performance Rating]]="On Time",1,0)</f>
        <v>0</v>
      </c>
    </row>
    <row r="312" spans="1:14" x14ac:dyDescent="0.35">
      <c r="A312" t="s">
        <v>307</v>
      </c>
      <c r="B312" t="s">
        <v>439</v>
      </c>
      <c r="C312" t="s">
        <v>588</v>
      </c>
      <c r="D312" s="2" t="s">
        <v>583</v>
      </c>
      <c r="E312" s="1" t="s">
        <v>593</v>
      </c>
      <c r="F312" s="3">
        <v>123</v>
      </c>
      <c r="G312" s="4">
        <v>60000</v>
      </c>
      <c r="H312" s="5">
        <v>171</v>
      </c>
      <c r="I312" s="6">
        <v>45731</v>
      </c>
      <c r="J312" s="2" t="s">
        <v>597</v>
      </c>
      <c r="K312" s="15">
        <f>PRODUCT(Table242[[#This Row],[Ticket Price]],Table242[[#This Row],[Passenger Count]])</f>
        <v>10260000</v>
      </c>
      <c r="L312" s="15">
        <f>Table242[[#This Row],[Revenue]]*(1-$Q$2)</f>
        <v>9234000</v>
      </c>
      <c r="M312" t="str">
        <f t="shared" si="4"/>
        <v>Late</v>
      </c>
      <c r="N312">
        <f>IF(Table242[[#This Row],[Performance Rating]]="On Time",1,0)</f>
        <v>0</v>
      </c>
    </row>
    <row r="313" spans="1:14" x14ac:dyDescent="0.35">
      <c r="A313" t="s">
        <v>308</v>
      </c>
      <c r="B313" t="s">
        <v>465</v>
      </c>
      <c r="C313" t="s">
        <v>583</v>
      </c>
      <c r="D313" s="2" t="s">
        <v>585</v>
      </c>
      <c r="E313" s="1" t="s">
        <v>593</v>
      </c>
      <c r="F313" s="3">
        <v>102</v>
      </c>
      <c r="G313" s="4">
        <v>115000</v>
      </c>
      <c r="H313" s="5">
        <v>92</v>
      </c>
      <c r="I313" s="6">
        <v>45669</v>
      </c>
      <c r="J313" s="2" t="s">
        <v>597</v>
      </c>
      <c r="K313" s="15">
        <f>PRODUCT(Table242[[#This Row],[Ticket Price]],Table242[[#This Row],[Passenger Count]])</f>
        <v>10580000</v>
      </c>
      <c r="L313" s="15">
        <f>Table242[[#This Row],[Revenue]]*(1-$Q$2)</f>
        <v>9522000</v>
      </c>
      <c r="M313" t="str">
        <f t="shared" si="4"/>
        <v>Late</v>
      </c>
      <c r="N313">
        <f>IF(Table242[[#This Row],[Performance Rating]]="On Time",1,0)</f>
        <v>0</v>
      </c>
    </row>
    <row r="314" spans="1:14" x14ac:dyDescent="0.35">
      <c r="A314" t="s">
        <v>309</v>
      </c>
      <c r="B314" t="s">
        <v>482</v>
      </c>
      <c r="C314" t="s">
        <v>583</v>
      </c>
      <c r="D314" s="2" t="s">
        <v>582</v>
      </c>
      <c r="E314" s="1" t="s">
        <v>596</v>
      </c>
      <c r="F314" s="3">
        <v>47</v>
      </c>
      <c r="G314" s="4">
        <v>85000</v>
      </c>
      <c r="H314" s="5">
        <v>156</v>
      </c>
      <c r="I314" s="6">
        <v>45726</v>
      </c>
      <c r="J314" s="2" t="s">
        <v>597</v>
      </c>
      <c r="K314" s="15">
        <f>PRODUCT(Table242[[#This Row],[Ticket Price]],Table242[[#This Row],[Passenger Count]])</f>
        <v>13260000</v>
      </c>
      <c r="L314" s="15">
        <f>Table242[[#This Row],[Revenue]]*(1-$Q$2)</f>
        <v>11934000</v>
      </c>
      <c r="M314" t="str">
        <f t="shared" si="4"/>
        <v>Late</v>
      </c>
      <c r="N314">
        <f>IF(Table242[[#This Row],[Performance Rating]]="On Time",1,0)</f>
        <v>0</v>
      </c>
    </row>
    <row r="315" spans="1:14" x14ac:dyDescent="0.35">
      <c r="A315" t="s">
        <v>310</v>
      </c>
      <c r="B315" t="s">
        <v>415</v>
      </c>
      <c r="C315" t="s">
        <v>583</v>
      </c>
      <c r="D315" s="2" t="s">
        <v>587</v>
      </c>
      <c r="E315" s="1" t="s">
        <v>596</v>
      </c>
      <c r="F315" s="3">
        <v>82</v>
      </c>
      <c r="G315" s="4">
        <v>130000</v>
      </c>
      <c r="H315" s="5">
        <v>178</v>
      </c>
      <c r="I315" s="6">
        <v>45658</v>
      </c>
      <c r="J315" s="2" t="s">
        <v>597</v>
      </c>
      <c r="K315" s="15">
        <f>PRODUCT(Table242[[#This Row],[Ticket Price]],Table242[[#This Row],[Passenger Count]])</f>
        <v>23140000</v>
      </c>
      <c r="L315" s="15">
        <f>Table242[[#This Row],[Revenue]]*(1-$Q$2)</f>
        <v>20826000</v>
      </c>
      <c r="M315" t="str">
        <f t="shared" si="4"/>
        <v>Late</v>
      </c>
      <c r="N315">
        <f>IF(Table242[[#This Row],[Performance Rating]]="On Time",1,0)</f>
        <v>0</v>
      </c>
    </row>
    <row r="316" spans="1:14" x14ac:dyDescent="0.35">
      <c r="A316" t="s">
        <v>311</v>
      </c>
      <c r="B316" t="s">
        <v>566</v>
      </c>
      <c r="C316" t="s">
        <v>585</v>
      </c>
      <c r="D316" s="2" t="s">
        <v>584</v>
      </c>
      <c r="E316" s="1" t="s">
        <v>595</v>
      </c>
      <c r="F316" s="3">
        <v>141</v>
      </c>
      <c r="G316" s="4">
        <v>35000</v>
      </c>
      <c r="H316" s="5">
        <v>134</v>
      </c>
      <c r="I316" s="6">
        <v>45777</v>
      </c>
      <c r="J316" s="2" t="s">
        <v>597</v>
      </c>
      <c r="K316" s="15">
        <f>PRODUCT(Table242[[#This Row],[Ticket Price]],Table242[[#This Row],[Passenger Count]])</f>
        <v>4690000</v>
      </c>
      <c r="L316" s="15">
        <f>Table242[[#This Row],[Revenue]]*(1-$Q$2)</f>
        <v>4221000</v>
      </c>
      <c r="M316" t="str">
        <f t="shared" si="4"/>
        <v>Late</v>
      </c>
      <c r="N316">
        <f>IF(Table242[[#This Row],[Performance Rating]]="On Time",1,0)</f>
        <v>0</v>
      </c>
    </row>
    <row r="317" spans="1:14" x14ac:dyDescent="0.35">
      <c r="A317" t="s">
        <v>312</v>
      </c>
      <c r="B317" t="s">
        <v>403</v>
      </c>
      <c r="C317" t="s">
        <v>585</v>
      </c>
      <c r="D317" s="2" t="s">
        <v>591</v>
      </c>
      <c r="E317" s="1" t="s">
        <v>592</v>
      </c>
      <c r="F317" s="3">
        <v>152</v>
      </c>
      <c r="G317" s="4">
        <v>30000</v>
      </c>
      <c r="H317" s="5">
        <v>176</v>
      </c>
      <c r="I317" s="6">
        <v>45759</v>
      </c>
      <c r="J317" s="2" t="s">
        <v>597</v>
      </c>
      <c r="K317" s="15">
        <f>PRODUCT(Table242[[#This Row],[Ticket Price]],Table242[[#This Row],[Passenger Count]])</f>
        <v>5280000</v>
      </c>
      <c r="L317" s="15">
        <f>Table242[[#This Row],[Revenue]]*(1-$Q$2)</f>
        <v>4752000</v>
      </c>
      <c r="M317" t="str">
        <f t="shared" si="4"/>
        <v>Late</v>
      </c>
      <c r="N317">
        <f>IF(Table242[[#This Row],[Performance Rating]]="On Time",1,0)</f>
        <v>0</v>
      </c>
    </row>
    <row r="318" spans="1:14" x14ac:dyDescent="0.35">
      <c r="A318" t="s">
        <v>313</v>
      </c>
      <c r="B318" t="s">
        <v>567</v>
      </c>
      <c r="C318" t="s">
        <v>585</v>
      </c>
      <c r="D318" s="2" t="s">
        <v>582</v>
      </c>
      <c r="E318" s="1" t="s">
        <v>594</v>
      </c>
      <c r="F318" s="3">
        <v>89</v>
      </c>
      <c r="G318" s="4">
        <v>70000</v>
      </c>
      <c r="H318" s="5">
        <v>99</v>
      </c>
      <c r="I318" s="6">
        <v>45786</v>
      </c>
      <c r="J318" s="2" t="s">
        <v>597</v>
      </c>
      <c r="K318" s="15">
        <f>PRODUCT(Table242[[#This Row],[Ticket Price]],Table242[[#This Row],[Passenger Count]])</f>
        <v>6930000</v>
      </c>
      <c r="L318" s="15">
        <f>Table242[[#This Row],[Revenue]]*(1-$Q$2)</f>
        <v>6237000</v>
      </c>
      <c r="M318" t="str">
        <f t="shared" si="4"/>
        <v>Late</v>
      </c>
      <c r="N318">
        <f>IF(Table242[[#This Row],[Performance Rating]]="On Time",1,0)</f>
        <v>0</v>
      </c>
    </row>
    <row r="319" spans="1:14" x14ac:dyDescent="0.35">
      <c r="A319" t="s">
        <v>314</v>
      </c>
      <c r="B319" t="s">
        <v>568</v>
      </c>
      <c r="C319" t="s">
        <v>585</v>
      </c>
      <c r="D319" s="2" t="s">
        <v>582</v>
      </c>
      <c r="E319" s="1" t="s">
        <v>593</v>
      </c>
      <c r="F319" s="3">
        <v>16</v>
      </c>
      <c r="G319" s="4">
        <v>25000</v>
      </c>
      <c r="H319" s="5">
        <v>139</v>
      </c>
      <c r="I319" s="6">
        <v>45834</v>
      </c>
      <c r="J319" s="2" t="s">
        <v>598</v>
      </c>
      <c r="K319" s="15">
        <f>PRODUCT(Table242[[#This Row],[Ticket Price]],Table242[[#This Row],[Passenger Count]])</f>
        <v>3475000</v>
      </c>
      <c r="L319" s="15">
        <f>Table242[[#This Row],[Revenue]]*(1-$Q$2)</f>
        <v>3127500</v>
      </c>
      <c r="M319" t="str">
        <f t="shared" si="4"/>
        <v>Slight Delay</v>
      </c>
      <c r="N319">
        <f>IF(Table242[[#This Row],[Performance Rating]]="On Time",1,0)</f>
        <v>0</v>
      </c>
    </row>
    <row r="320" spans="1:14" x14ac:dyDescent="0.35">
      <c r="A320" t="s">
        <v>315</v>
      </c>
      <c r="B320" t="s">
        <v>455</v>
      </c>
      <c r="C320" t="s">
        <v>587</v>
      </c>
      <c r="D320" s="2" t="s">
        <v>590</v>
      </c>
      <c r="E320" s="1" t="s">
        <v>593</v>
      </c>
      <c r="F320" s="3">
        <v>32</v>
      </c>
      <c r="G320" s="4">
        <v>130000</v>
      </c>
      <c r="H320" s="5">
        <v>69</v>
      </c>
      <c r="I320" s="6">
        <v>45734</v>
      </c>
      <c r="J320" s="2" t="s">
        <v>598</v>
      </c>
      <c r="K320" s="15">
        <f>PRODUCT(Table242[[#This Row],[Ticket Price]],Table242[[#This Row],[Passenger Count]])</f>
        <v>8970000</v>
      </c>
      <c r="L320" s="15">
        <f>Table242[[#This Row],[Revenue]]*(1-$Q$2)</f>
        <v>8073000</v>
      </c>
      <c r="M320" t="str">
        <f t="shared" si="4"/>
        <v>Late</v>
      </c>
      <c r="N320">
        <f>IF(Table242[[#This Row],[Performance Rating]]="On Time",1,0)</f>
        <v>0</v>
      </c>
    </row>
    <row r="321" spans="1:14" x14ac:dyDescent="0.35">
      <c r="A321" t="s">
        <v>316</v>
      </c>
      <c r="B321" t="s">
        <v>512</v>
      </c>
      <c r="C321" t="s">
        <v>587</v>
      </c>
      <c r="D321" s="2" t="s">
        <v>585</v>
      </c>
      <c r="E321" s="1" t="s">
        <v>594</v>
      </c>
      <c r="F321" s="3">
        <v>28</v>
      </c>
      <c r="G321" s="4">
        <v>130000</v>
      </c>
      <c r="H321" s="5">
        <v>178</v>
      </c>
      <c r="I321" s="6">
        <v>45689</v>
      </c>
      <c r="J321" s="2" t="s">
        <v>598</v>
      </c>
      <c r="K321" s="15">
        <f>PRODUCT(Table242[[#This Row],[Ticket Price]],Table242[[#This Row],[Passenger Count]])</f>
        <v>23140000</v>
      </c>
      <c r="L321" s="15">
        <f>Table242[[#This Row],[Revenue]]*(1-$Q$2)</f>
        <v>20826000</v>
      </c>
      <c r="M321" t="str">
        <f t="shared" si="4"/>
        <v>Slight Delay</v>
      </c>
      <c r="N321">
        <f>IF(Table242[[#This Row],[Performance Rating]]="On Time",1,0)</f>
        <v>0</v>
      </c>
    </row>
    <row r="322" spans="1:14" x14ac:dyDescent="0.35">
      <c r="A322" t="s">
        <v>317</v>
      </c>
      <c r="B322" t="s">
        <v>381</v>
      </c>
      <c r="C322" t="s">
        <v>582</v>
      </c>
      <c r="D322" s="2" t="s">
        <v>589</v>
      </c>
      <c r="E322" s="1" t="s">
        <v>596</v>
      </c>
      <c r="F322" s="3">
        <v>25</v>
      </c>
      <c r="G322" s="4">
        <v>120000</v>
      </c>
      <c r="H322" s="5">
        <v>111</v>
      </c>
      <c r="I322" s="6">
        <v>45762</v>
      </c>
      <c r="J322" s="2" t="s">
        <v>598</v>
      </c>
      <c r="K322" s="15">
        <f>PRODUCT(Table242[[#This Row],[Ticket Price]],Table242[[#This Row],[Passenger Count]])</f>
        <v>13320000</v>
      </c>
      <c r="L322" s="15">
        <f>Table242[[#This Row],[Revenue]]*(1-$Q$2)</f>
        <v>11988000</v>
      </c>
      <c r="M322" t="str">
        <f t="shared" si="4"/>
        <v>Slight Delay</v>
      </c>
      <c r="N322">
        <f>IF(Table242[[#This Row],[Performance Rating]]="On Time",1,0)</f>
        <v>0</v>
      </c>
    </row>
    <row r="323" spans="1:14" x14ac:dyDescent="0.35">
      <c r="A323" t="s">
        <v>318</v>
      </c>
      <c r="B323" t="s">
        <v>569</v>
      </c>
      <c r="C323" t="s">
        <v>581</v>
      </c>
      <c r="D323" s="2" t="s">
        <v>587</v>
      </c>
      <c r="E323" s="1" t="s">
        <v>594</v>
      </c>
      <c r="F323" s="3">
        <v>54</v>
      </c>
      <c r="G323" s="4">
        <v>30000</v>
      </c>
      <c r="H323" s="5">
        <v>101</v>
      </c>
      <c r="I323" s="6">
        <v>45672</v>
      </c>
      <c r="J323" s="2" t="s">
        <v>597</v>
      </c>
      <c r="K323" s="15">
        <f>PRODUCT(Table242[[#This Row],[Ticket Price]],Table242[[#This Row],[Passenger Count]])</f>
        <v>3030000</v>
      </c>
      <c r="L323" s="15">
        <f>Table242[[#This Row],[Revenue]]*(1-$Q$2)</f>
        <v>2727000</v>
      </c>
      <c r="M323" t="str">
        <f t="shared" ref="M323:M351" si="5">IF(F323&lt;=10,"On Time",IF(F323&lt;=30,"Slight Delay","Late"))</f>
        <v>Late</v>
      </c>
      <c r="N323">
        <f>IF(Table242[[#This Row],[Performance Rating]]="On Time",1,0)</f>
        <v>0</v>
      </c>
    </row>
    <row r="324" spans="1:14" x14ac:dyDescent="0.35">
      <c r="A324" t="s">
        <v>319</v>
      </c>
      <c r="B324" t="s">
        <v>570</v>
      </c>
      <c r="C324" t="s">
        <v>585</v>
      </c>
      <c r="D324" s="2" t="s">
        <v>584</v>
      </c>
      <c r="E324" s="1" t="s">
        <v>592</v>
      </c>
      <c r="F324" s="3">
        <v>105</v>
      </c>
      <c r="G324" s="4">
        <v>110000</v>
      </c>
      <c r="H324" s="5">
        <v>126</v>
      </c>
      <c r="I324" s="6">
        <v>45818</v>
      </c>
      <c r="J324" s="2" t="s">
        <v>598</v>
      </c>
      <c r="K324" s="15">
        <f>PRODUCT(Table242[[#This Row],[Ticket Price]],Table242[[#This Row],[Passenger Count]])</f>
        <v>13860000</v>
      </c>
      <c r="L324" s="15">
        <f>Table242[[#This Row],[Revenue]]*(1-$Q$2)</f>
        <v>12474000</v>
      </c>
      <c r="M324" t="str">
        <f t="shared" si="5"/>
        <v>Late</v>
      </c>
      <c r="N324">
        <f>IF(Table242[[#This Row],[Performance Rating]]="On Time",1,0)</f>
        <v>0</v>
      </c>
    </row>
    <row r="325" spans="1:14" x14ac:dyDescent="0.35">
      <c r="A325" t="s">
        <v>320</v>
      </c>
      <c r="B325" t="s">
        <v>571</v>
      </c>
      <c r="C325" t="s">
        <v>581</v>
      </c>
      <c r="D325" s="2" t="s">
        <v>585</v>
      </c>
      <c r="E325" s="1" t="s">
        <v>595</v>
      </c>
      <c r="F325" s="3">
        <v>27</v>
      </c>
      <c r="G325" s="4">
        <v>45000</v>
      </c>
      <c r="H325" s="5">
        <v>73</v>
      </c>
      <c r="I325" s="6">
        <v>45659</v>
      </c>
      <c r="J325" s="2" t="s">
        <v>598</v>
      </c>
      <c r="K325" s="15">
        <f>PRODUCT(Table242[[#This Row],[Ticket Price]],Table242[[#This Row],[Passenger Count]])</f>
        <v>3285000</v>
      </c>
      <c r="L325" s="15">
        <f>Table242[[#This Row],[Revenue]]*(1-$Q$2)</f>
        <v>2956500</v>
      </c>
      <c r="M325" t="str">
        <f t="shared" si="5"/>
        <v>Slight Delay</v>
      </c>
      <c r="N325">
        <f>IF(Table242[[#This Row],[Performance Rating]]="On Time",1,0)</f>
        <v>0</v>
      </c>
    </row>
    <row r="326" spans="1:14" x14ac:dyDescent="0.35">
      <c r="A326" t="s">
        <v>321</v>
      </c>
      <c r="B326" t="s">
        <v>572</v>
      </c>
      <c r="C326" t="s">
        <v>588</v>
      </c>
      <c r="D326" s="2" t="s">
        <v>590</v>
      </c>
      <c r="E326" s="1" t="s">
        <v>595</v>
      </c>
      <c r="F326" s="3">
        <v>89</v>
      </c>
      <c r="G326" s="4">
        <v>120000</v>
      </c>
      <c r="H326" s="5">
        <v>175</v>
      </c>
      <c r="I326" s="6">
        <v>45804</v>
      </c>
      <c r="J326" s="2" t="s">
        <v>598</v>
      </c>
      <c r="K326" s="15">
        <f>PRODUCT(Table242[[#This Row],[Ticket Price]],Table242[[#This Row],[Passenger Count]])</f>
        <v>21000000</v>
      </c>
      <c r="L326" s="15">
        <f>Table242[[#This Row],[Revenue]]*(1-$Q$2)</f>
        <v>18900000</v>
      </c>
      <c r="M326" t="str">
        <f t="shared" si="5"/>
        <v>Late</v>
      </c>
      <c r="N326">
        <f>IF(Table242[[#This Row],[Performance Rating]]="On Time",1,0)</f>
        <v>0</v>
      </c>
    </row>
    <row r="327" spans="1:14" x14ac:dyDescent="0.35">
      <c r="A327" t="s">
        <v>322</v>
      </c>
      <c r="B327" t="s">
        <v>456</v>
      </c>
      <c r="C327" t="s">
        <v>582</v>
      </c>
      <c r="D327" s="2" t="s">
        <v>589</v>
      </c>
      <c r="E327" s="1" t="s">
        <v>592</v>
      </c>
      <c r="F327" s="3">
        <v>90</v>
      </c>
      <c r="G327" s="4">
        <v>90000</v>
      </c>
      <c r="H327" s="5">
        <v>95</v>
      </c>
      <c r="I327" s="6">
        <v>45775</v>
      </c>
      <c r="J327" s="2" t="s">
        <v>598</v>
      </c>
      <c r="K327" s="15">
        <f>PRODUCT(Table242[[#This Row],[Ticket Price]],Table242[[#This Row],[Passenger Count]])</f>
        <v>8550000</v>
      </c>
      <c r="L327" s="15">
        <f>Table242[[#This Row],[Revenue]]*(1-$Q$2)</f>
        <v>7695000</v>
      </c>
      <c r="M327" t="str">
        <f t="shared" si="5"/>
        <v>Late</v>
      </c>
      <c r="N327">
        <f>IF(Table242[[#This Row],[Performance Rating]]="On Time",1,0)</f>
        <v>0</v>
      </c>
    </row>
    <row r="328" spans="1:14" x14ac:dyDescent="0.35">
      <c r="A328" t="s">
        <v>323</v>
      </c>
      <c r="B328" t="s">
        <v>573</v>
      </c>
      <c r="C328" t="s">
        <v>587</v>
      </c>
      <c r="D328" s="2" t="s">
        <v>584</v>
      </c>
      <c r="E328" s="1" t="s">
        <v>596</v>
      </c>
      <c r="F328" s="3">
        <v>6</v>
      </c>
      <c r="G328" s="4">
        <v>95000</v>
      </c>
      <c r="H328" s="5">
        <v>157</v>
      </c>
      <c r="I328" s="6">
        <v>45684</v>
      </c>
      <c r="J328" s="2" t="s">
        <v>597</v>
      </c>
      <c r="K328" s="15">
        <f>PRODUCT(Table242[[#This Row],[Ticket Price]],Table242[[#This Row],[Passenger Count]])</f>
        <v>14915000</v>
      </c>
      <c r="L328" s="15">
        <f>Table242[[#This Row],[Revenue]]*(1-$Q$2)</f>
        <v>13423500</v>
      </c>
      <c r="M328" t="str">
        <f t="shared" si="5"/>
        <v>On Time</v>
      </c>
      <c r="N328">
        <f>IF(Table242[[#This Row],[Performance Rating]]="On Time",1,0)</f>
        <v>1</v>
      </c>
    </row>
    <row r="329" spans="1:14" x14ac:dyDescent="0.35">
      <c r="A329" t="s">
        <v>324</v>
      </c>
      <c r="B329" t="s">
        <v>532</v>
      </c>
      <c r="C329" t="s">
        <v>581</v>
      </c>
      <c r="D329" s="2" t="s">
        <v>582</v>
      </c>
      <c r="E329" s="1" t="s">
        <v>594</v>
      </c>
      <c r="F329" s="3">
        <v>43</v>
      </c>
      <c r="G329" s="4">
        <v>40000</v>
      </c>
      <c r="H329" s="5">
        <v>80</v>
      </c>
      <c r="I329" s="6">
        <v>45722</v>
      </c>
      <c r="J329" s="2" t="s">
        <v>598</v>
      </c>
      <c r="K329" s="15">
        <f>PRODUCT(Table242[[#This Row],[Ticket Price]],Table242[[#This Row],[Passenger Count]])</f>
        <v>3200000</v>
      </c>
      <c r="L329" s="15">
        <f>Table242[[#This Row],[Revenue]]*(1-$Q$2)</f>
        <v>2880000</v>
      </c>
      <c r="M329" t="str">
        <f t="shared" si="5"/>
        <v>Late</v>
      </c>
      <c r="N329">
        <f>IF(Table242[[#This Row],[Performance Rating]]="On Time",1,0)</f>
        <v>0</v>
      </c>
    </row>
    <row r="330" spans="1:14" x14ac:dyDescent="0.35">
      <c r="A330" t="s">
        <v>325</v>
      </c>
      <c r="B330" t="s">
        <v>406</v>
      </c>
      <c r="C330" t="s">
        <v>581</v>
      </c>
      <c r="D330" s="2" t="s">
        <v>590</v>
      </c>
      <c r="E330" s="1" t="s">
        <v>592</v>
      </c>
      <c r="F330" s="3">
        <v>8</v>
      </c>
      <c r="G330" s="4">
        <v>70000</v>
      </c>
      <c r="H330" s="5">
        <v>74</v>
      </c>
      <c r="I330" s="6">
        <v>45732</v>
      </c>
      <c r="J330" s="2" t="s">
        <v>597</v>
      </c>
      <c r="K330" s="15">
        <f>PRODUCT(Table242[[#This Row],[Ticket Price]],Table242[[#This Row],[Passenger Count]])</f>
        <v>5180000</v>
      </c>
      <c r="L330" s="15">
        <f>Table242[[#This Row],[Revenue]]*(1-$Q$2)</f>
        <v>4662000</v>
      </c>
      <c r="M330" t="str">
        <f t="shared" si="5"/>
        <v>On Time</v>
      </c>
      <c r="N330">
        <f>IF(Table242[[#This Row],[Performance Rating]]="On Time",1,0)</f>
        <v>1</v>
      </c>
    </row>
    <row r="331" spans="1:14" x14ac:dyDescent="0.35">
      <c r="A331" t="s">
        <v>326</v>
      </c>
      <c r="B331" t="s">
        <v>488</v>
      </c>
      <c r="C331" t="s">
        <v>587</v>
      </c>
      <c r="D331" s="2" t="s">
        <v>585</v>
      </c>
      <c r="E331" s="1" t="s">
        <v>594</v>
      </c>
      <c r="F331" s="3">
        <v>153</v>
      </c>
      <c r="G331" s="4">
        <v>125000</v>
      </c>
      <c r="H331" s="5">
        <v>101</v>
      </c>
      <c r="I331" s="6">
        <v>45677</v>
      </c>
      <c r="J331" s="2" t="s">
        <v>598</v>
      </c>
      <c r="K331" s="15">
        <f>PRODUCT(Table242[[#This Row],[Ticket Price]],Table242[[#This Row],[Passenger Count]])</f>
        <v>12625000</v>
      </c>
      <c r="L331" s="15">
        <f>Table242[[#This Row],[Revenue]]*(1-$Q$2)</f>
        <v>11362500</v>
      </c>
      <c r="M331" t="str">
        <f t="shared" si="5"/>
        <v>Late</v>
      </c>
      <c r="N331">
        <f>IF(Table242[[#This Row],[Performance Rating]]="On Time",1,0)</f>
        <v>0</v>
      </c>
    </row>
    <row r="332" spans="1:14" x14ac:dyDescent="0.35">
      <c r="A332" t="s">
        <v>327</v>
      </c>
      <c r="B332" t="s">
        <v>543</v>
      </c>
      <c r="C332" t="s">
        <v>588</v>
      </c>
      <c r="D332" s="2" t="s">
        <v>589</v>
      </c>
      <c r="E332" s="1" t="s">
        <v>592</v>
      </c>
      <c r="F332" s="3">
        <v>46</v>
      </c>
      <c r="G332" s="4">
        <v>50000</v>
      </c>
      <c r="H332" s="5">
        <v>141</v>
      </c>
      <c r="I332" s="6">
        <v>45776</v>
      </c>
      <c r="J332" s="2" t="s">
        <v>598</v>
      </c>
      <c r="K332" s="15">
        <f>PRODUCT(Table242[[#This Row],[Ticket Price]],Table242[[#This Row],[Passenger Count]])</f>
        <v>7050000</v>
      </c>
      <c r="L332" s="15">
        <f>Table242[[#This Row],[Revenue]]*(1-$Q$2)</f>
        <v>6345000</v>
      </c>
      <c r="M332" t="str">
        <f t="shared" si="5"/>
        <v>Late</v>
      </c>
      <c r="N332">
        <f>IF(Table242[[#This Row],[Performance Rating]]="On Time",1,0)</f>
        <v>0</v>
      </c>
    </row>
    <row r="333" spans="1:14" x14ac:dyDescent="0.35">
      <c r="A333" t="s">
        <v>328</v>
      </c>
      <c r="B333" t="s">
        <v>574</v>
      </c>
      <c r="C333" t="s">
        <v>584</v>
      </c>
      <c r="D333" s="2" t="s">
        <v>590</v>
      </c>
      <c r="E333" s="1" t="s">
        <v>594</v>
      </c>
      <c r="F333" s="3">
        <v>136</v>
      </c>
      <c r="G333" s="4">
        <v>25000</v>
      </c>
      <c r="H333" s="5">
        <v>132</v>
      </c>
      <c r="I333" s="6">
        <v>45756</v>
      </c>
      <c r="J333" s="2" t="s">
        <v>598</v>
      </c>
      <c r="K333" s="15">
        <f>PRODUCT(Table242[[#This Row],[Ticket Price]],Table242[[#This Row],[Passenger Count]])</f>
        <v>3300000</v>
      </c>
      <c r="L333" s="15">
        <f>Table242[[#This Row],[Revenue]]*(1-$Q$2)</f>
        <v>2970000</v>
      </c>
      <c r="M333" t="str">
        <f t="shared" si="5"/>
        <v>Late</v>
      </c>
      <c r="N333">
        <f>IF(Table242[[#This Row],[Performance Rating]]="On Time",1,0)</f>
        <v>0</v>
      </c>
    </row>
    <row r="334" spans="1:14" x14ac:dyDescent="0.35">
      <c r="A334" t="s">
        <v>329</v>
      </c>
      <c r="B334" t="s">
        <v>378</v>
      </c>
      <c r="C334" t="s">
        <v>584</v>
      </c>
      <c r="D334" s="2" t="s">
        <v>591</v>
      </c>
      <c r="E334" s="1" t="s">
        <v>592</v>
      </c>
      <c r="F334" s="3">
        <v>-1</v>
      </c>
      <c r="G334" s="4">
        <v>125000</v>
      </c>
      <c r="H334" s="5">
        <v>113</v>
      </c>
      <c r="I334" s="6">
        <v>45741</v>
      </c>
      <c r="J334" s="2" t="s">
        <v>598</v>
      </c>
      <c r="K334" s="15">
        <f>PRODUCT(Table242[[#This Row],[Ticket Price]],Table242[[#This Row],[Passenger Count]])</f>
        <v>14125000</v>
      </c>
      <c r="L334" s="15">
        <f>Table242[[#This Row],[Revenue]]*(1-$Q$2)</f>
        <v>12712500</v>
      </c>
      <c r="M334" t="str">
        <f t="shared" si="5"/>
        <v>On Time</v>
      </c>
      <c r="N334">
        <f>IF(Table242[[#This Row],[Performance Rating]]="On Time",1,0)</f>
        <v>1</v>
      </c>
    </row>
    <row r="335" spans="1:14" x14ac:dyDescent="0.35">
      <c r="A335" t="s">
        <v>330</v>
      </c>
      <c r="B335" t="s">
        <v>350</v>
      </c>
      <c r="C335" t="s">
        <v>584</v>
      </c>
      <c r="D335" s="2" t="s">
        <v>591</v>
      </c>
      <c r="E335" s="1" t="s">
        <v>592</v>
      </c>
      <c r="F335" s="3">
        <v>94</v>
      </c>
      <c r="G335" s="4">
        <v>70000</v>
      </c>
      <c r="H335" s="5">
        <v>113</v>
      </c>
      <c r="I335" s="6">
        <v>45792</v>
      </c>
      <c r="J335" s="2" t="s">
        <v>598</v>
      </c>
      <c r="K335" s="15">
        <f>PRODUCT(Table242[[#This Row],[Ticket Price]],Table242[[#This Row],[Passenger Count]])</f>
        <v>7910000</v>
      </c>
      <c r="L335" s="15">
        <f>Table242[[#This Row],[Revenue]]*(1-$Q$2)</f>
        <v>7119000</v>
      </c>
      <c r="M335" t="str">
        <f t="shared" si="5"/>
        <v>Late</v>
      </c>
      <c r="N335">
        <f>IF(Table242[[#This Row],[Performance Rating]]="On Time",1,0)</f>
        <v>0</v>
      </c>
    </row>
    <row r="336" spans="1:14" x14ac:dyDescent="0.35">
      <c r="A336" t="s">
        <v>331</v>
      </c>
      <c r="B336" t="s">
        <v>531</v>
      </c>
      <c r="C336" t="s">
        <v>584</v>
      </c>
      <c r="D336" s="2" t="s">
        <v>589</v>
      </c>
      <c r="E336" s="1" t="s">
        <v>592</v>
      </c>
      <c r="F336" s="3">
        <v>32</v>
      </c>
      <c r="G336" s="4">
        <v>90000</v>
      </c>
      <c r="H336" s="5">
        <v>110</v>
      </c>
      <c r="I336" s="6">
        <v>45735</v>
      </c>
      <c r="J336" s="2" t="s">
        <v>598</v>
      </c>
      <c r="K336" s="15">
        <f>PRODUCT(Table242[[#This Row],[Ticket Price]],Table242[[#This Row],[Passenger Count]])</f>
        <v>9900000</v>
      </c>
      <c r="L336" s="15">
        <f>Table242[[#This Row],[Revenue]]*(1-$Q$2)</f>
        <v>8910000</v>
      </c>
      <c r="M336" t="str">
        <f t="shared" si="5"/>
        <v>Late</v>
      </c>
      <c r="N336">
        <f>IF(Table242[[#This Row],[Performance Rating]]="On Time",1,0)</f>
        <v>0</v>
      </c>
    </row>
    <row r="337" spans="1:14" x14ac:dyDescent="0.35">
      <c r="A337" t="s">
        <v>332</v>
      </c>
      <c r="B337" t="s">
        <v>575</v>
      </c>
      <c r="C337" t="s">
        <v>582</v>
      </c>
      <c r="D337" s="2" t="s">
        <v>584</v>
      </c>
      <c r="E337" s="1" t="s">
        <v>595</v>
      </c>
      <c r="F337" s="3">
        <v>55</v>
      </c>
      <c r="G337" s="4">
        <v>115000</v>
      </c>
      <c r="H337" s="5">
        <v>128</v>
      </c>
      <c r="I337" s="6">
        <v>45756</v>
      </c>
      <c r="J337" s="2" t="s">
        <v>598</v>
      </c>
      <c r="K337" s="15">
        <f>PRODUCT(Table242[[#This Row],[Ticket Price]],Table242[[#This Row],[Passenger Count]])</f>
        <v>14720000</v>
      </c>
      <c r="L337" s="15">
        <f>Table242[[#This Row],[Revenue]]*(1-$Q$2)</f>
        <v>13248000</v>
      </c>
      <c r="M337" t="str">
        <f t="shared" si="5"/>
        <v>Late</v>
      </c>
      <c r="N337">
        <f>IF(Table242[[#This Row],[Performance Rating]]="On Time",1,0)</f>
        <v>0</v>
      </c>
    </row>
    <row r="338" spans="1:14" x14ac:dyDescent="0.35">
      <c r="A338" t="s">
        <v>333</v>
      </c>
      <c r="B338" t="s">
        <v>537</v>
      </c>
      <c r="C338" t="s">
        <v>586</v>
      </c>
      <c r="D338" s="2" t="s">
        <v>583</v>
      </c>
      <c r="E338" s="1" t="s">
        <v>593</v>
      </c>
      <c r="F338" s="3">
        <v>19</v>
      </c>
      <c r="G338" s="4">
        <v>100000</v>
      </c>
      <c r="H338" s="5">
        <v>93</v>
      </c>
      <c r="I338" s="6">
        <v>45668</v>
      </c>
      <c r="J338" s="2" t="s">
        <v>597</v>
      </c>
      <c r="K338" s="15">
        <f>PRODUCT(Table242[[#This Row],[Ticket Price]],Table242[[#This Row],[Passenger Count]])</f>
        <v>9300000</v>
      </c>
      <c r="L338" s="15">
        <f>Table242[[#This Row],[Revenue]]*(1-$Q$2)</f>
        <v>8370000</v>
      </c>
      <c r="M338" t="str">
        <f t="shared" si="5"/>
        <v>Slight Delay</v>
      </c>
      <c r="N338">
        <f>IF(Table242[[#This Row],[Performance Rating]]="On Time",1,0)</f>
        <v>0</v>
      </c>
    </row>
    <row r="339" spans="1:14" x14ac:dyDescent="0.35">
      <c r="A339" t="s">
        <v>334</v>
      </c>
      <c r="B339" t="s">
        <v>554</v>
      </c>
      <c r="C339" t="s">
        <v>583</v>
      </c>
      <c r="D339" s="2" t="s">
        <v>590</v>
      </c>
      <c r="E339" s="1" t="s">
        <v>594</v>
      </c>
      <c r="F339" s="3">
        <v>6</v>
      </c>
      <c r="G339" s="4">
        <v>40000</v>
      </c>
      <c r="H339" s="5">
        <v>146</v>
      </c>
      <c r="I339" s="6">
        <v>45681</v>
      </c>
      <c r="J339" s="2" t="s">
        <v>597</v>
      </c>
      <c r="K339" s="15">
        <f>PRODUCT(Table242[[#This Row],[Ticket Price]],Table242[[#This Row],[Passenger Count]])</f>
        <v>5840000</v>
      </c>
      <c r="L339" s="15">
        <f>Table242[[#This Row],[Revenue]]*(1-$Q$2)</f>
        <v>5256000</v>
      </c>
      <c r="M339" t="str">
        <f t="shared" si="5"/>
        <v>On Time</v>
      </c>
      <c r="N339">
        <f>IF(Table242[[#This Row],[Performance Rating]]="On Time",1,0)</f>
        <v>1</v>
      </c>
    </row>
    <row r="340" spans="1:14" x14ac:dyDescent="0.35">
      <c r="A340" t="s">
        <v>335</v>
      </c>
      <c r="B340" t="s">
        <v>511</v>
      </c>
      <c r="C340" t="s">
        <v>585</v>
      </c>
      <c r="D340" s="2" t="s">
        <v>582</v>
      </c>
      <c r="E340" s="1" t="s">
        <v>592</v>
      </c>
      <c r="F340" s="3">
        <v>29</v>
      </c>
      <c r="G340" s="4">
        <v>130000</v>
      </c>
      <c r="H340" s="5">
        <v>98</v>
      </c>
      <c r="I340" s="6">
        <v>45718</v>
      </c>
      <c r="J340" s="2" t="s">
        <v>597</v>
      </c>
      <c r="K340" s="15">
        <f>PRODUCT(Table242[[#This Row],[Ticket Price]],Table242[[#This Row],[Passenger Count]])</f>
        <v>12740000</v>
      </c>
      <c r="L340" s="15">
        <f>Table242[[#This Row],[Revenue]]*(1-$Q$2)</f>
        <v>11466000</v>
      </c>
      <c r="M340" t="str">
        <f t="shared" si="5"/>
        <v>Slight Delay</v>
      </c>
      <c r="N340">
        <f>IF(Table242[[#This Row],[Performance Rating]]="On Time",1,0)</f>
        <v>0</v>
      </c>
    </row>
    <row r="341" spans="1:14" x14ac:dyDescent="0.35">
      <c r="A341" t="s">
        <v>336</v>
      </c>
      <c r="B341" t="s">
        <v>576</v>
      </c>
      <c r="C341" t="s">
        <v>581</v>
      </c>
      <c r="D341" s="2" t="s">
        <v>583</v>
      </c>
      <c r="E341" s="1" t="s">
        <v>592</v>
      </c>
      <c r="F341" s="3">
        <v>153</v>
      </c>
      <c r="G341" s="4">
        <v>120000</v>
      </c>
      <c r="H341" s="5">
        <v>134</v>
      </c>
      <c r="I341" s="6">
        <v>45701</v>
      </c>
      <c r="J341" s="2" t="s">
        <v>598</v>
      </c>
      <c r="K341" s="15">
        <f>PRODUCT(Table242[[#This Row],[Ticket Price]],Table242[[#This Row],[Passenger Count]])</f>
        <v>16080000</v>
      </c>
      <c r="L341" s="15">
        <f>Table242[[#This Row],[Revenue]]*(1-$Q$2)</f>
        <v>14472000</v>
      </c>
      <c r="M341" t="str">
        <f t="shared" si="5"/>
        <v>Late</v>
      </c>
      <c r="N341">
        <f>IF(Table242[[#This Row],[Performance Rating]]="On Time",1,0)</f>
        <v>0</v>
      </c>
    </row>
    <row r="342" spans="1:14" x14ac:dyDescent="0.35">
      <c r="A342" t="s">
        <v>337</v>
      </c>
      <c r="B342" t="s">
        <v>577</v>
      </c>
      <c r="C342" t="s">
        <v>581</v>
      </c>
      <c r="D342" s="2" t="s">
        <v>589</v>
      </c>
      <c r="E342" s="1" t="s">
        <v>596</v>
      </c>
      <c r="F342" s="3">
        <v>116</v>
      </c>
      <c r="G342" s="4">
        <v>135000</v>
      </c>
      <c r="H342" s="5">
        <v>151</v>
      </c>
      <c r="I342" s="6">
        <v>45717</v>
      </c>
      <c r="J342" s="2" t="s">
        <v>597</v>
      </c>
      <c r="K342" s="15">
        <f>PRODUCT(Table242[[#This Row],[Ticket Price]],Table242[[#This Row],[Passenger Count]])</f>
        <v>20385000</v>
      </c>
      <c r="L342" s="15">
        <f>Table242[[#This Row],[Revenue]]*(1-$Q$2)</f>
        <v>18346500</v>
      </c>
      <c r="M342" t="str">
        <f t="shared" si="5"/>
        <v>Late</v>
      </c>
      <c r="N342">
        <f>IF(Table242[[#This Row],[Performance Rating]]="On Time",1,0)</f>
        <v>0</v>
      </c>
    </row>
    <row r="343" spans="1:14" x14ac:dyDescent="0.35">
      <c r="A343" t="s">
        <v>338</v>
      </c>
      <c r="B343" t="s">
        <v>495</v>
      </c>
      <c r="C343" t="s">
        <v>586</v>
      </c>
      <c r="D343" s="2" t="s">
        <v>583</v>
      </c>
      <c r="E343" s="1" t="s">
        <v>593</v>
      </c>
      <c r="F343" s="3">
        <v>167</v>
      </c>
      <c r="G343" s="4">
        <v>35000</v>
      </c>
      <c r="H343" s="5">
        <v>73</v>
      </c>
      <c r="I343" s="6">
        <v>45797</v>
      </c>
      <c r="J343" s="2" t="s">
        <v>598</v>
      </c>
      <c r="K343" s="15">
        <f>PRODUCT(Table242[[#This Row],[Ticket Price]],Table242[[#This Row],[Passenger Count]])</f>
        <v>2555000</v>
      </c>
      <c r="L343" s="15">
        <f>Table242[[#This Row],[Revenue]]*(1-$Q$2)</f>
        <v>2299500</v>
      </c>
      <c r="M343" t="str">
        <f t="shared" si="5"/>
        <v>Late</v>
      </c>
      <c r="N343">
        <f>IF(Table242[[#This Row],[Performance Rating]]="On Time",1,0)</f>
        <v>0</v>
      </c>
    </row>
    <row r="344" spans="1:14" x14ac:dyDescent="0.35">
      <c r="A344" t="s">
        <v>339</v>
      </c>
      <c r="B344" t="s">
        <v>388</v>
      </c>
      <c r="C344" t="s">
        <v>584</v>
      </c>
      <c r="D344" s="2" t="s">
        <v>591</v>
      </c>
      <c r="E344" s="1" t="s">
        <v>596</v>
      </c>
      <c r="F344" s="3">
        <v>42</v>
      </c>
      <c r="G344" s="4">
        <v>90000</v>
      </c>
      <c r="H344" s="5">
        <v>146</v>
      </c>
      <c r="I344" s="6">
        <v>45678</v>
      </c>
      <c r="J344" s="2" t="s">
        <v>597</v>
      </c>
      <c r="K344" s="15">
        <f>PRODUCT(Table242[[#This Row],[Ticket Price]],Table242[[#This Row],[Passenger Count]])</f>
        <v>13140000</v>
      </c>
      <c r="L344" s="15">
        <f>Table242[[#This Row],[Revenue]]*(1-$Q$2)</f>
        <v>11826000</v>
      </c>
      <c r="M344" t="str">
        <f t="shared" si="5"/>
        <v>Late</v>
      </c>
      <c r="N344">
        <f>IF(Table242[[#This Row],[Performance Rating]]="On Time",1,0)</f>
        <v>0</v>
      </c>
    </row>
    <row r="345" spans="1:14" x14ac:dyDescent="0.35">
      <c r="A345" t="s">
        <v>340</v>
      </c>
      <c r="B345" t="s">
        <v>578</v>
      </c>
      <c r="C345" t="s">
        <v>582</v>
      </c>
      <c r="D345" s="2" t="s">
        <v>590</v>
      </c>
      <c r="E345" s="1" t="s">
        <v>596</v>
      </c>
      <c r="F345" s="3">
        <v>124</v>
      </c>
      <c r="G345" s="4">
        <v>145000</v>
      </c>
      <c r="H345" s="5">
        <v>169</v>
      </c>
      <c r="I345" s="6">
        <v>45763</v>
      </c>
      <c r="J345" s="2" t="s">
        <v>597</v>
      </c>
      <c r="K345" s="15">
        <f>PRODUCT(Table242[[#This Row],[Ticket Price]],Table242[[#This Row],[Passenger Count]])</f>
        <v>24505000</v>
      </c>
      <c r="L345" s="15">
        <f>Table242[[#This Row],[Revenue]]*(1-$Q$2)</f>
        <v>22054500</v>
      </c>
      <c r="M345" t="str">
        <f t="shared" si="5"/>
        <v>Late</v>
      </c>
      <c r="N345">
        <f>IF(Table242[[#This Row],[Performance Rating]]="On Time",1,0)</f>
        <v>0</v>
      </c>
    </row>
    <row r="346" spans="1:14" x14ac:dyDescent="0.35">
      <c r="A346" t="s">
        <v>341</v>
      </c>
      <c r="B346" t="s">
        <v>579</v>
      </c>
      <c r="C346" t="s">
        <v>586</v>
      </c>
      <c r="D346" s="2" t="s">
        <v>590</v>
      </c>
      <c r="E346" s="1" t="s">
        <v>593</v>
      </c>
      <c r="F346" s="3">
        <v>119</v>
      </c>
      <c r="G346" s="4">
        <v>40000</v>
      </c>
      <c r="H346" s="5">
        <v>97</v>
      </c>
      <c r="I346" s="6">
        <v>45722</v>
      </c>
      <c r="J346" s="2" t="s">
        <v>598</v>
      </c>
      <c r="K346" s="15">
        <f>PRODUCT(Table242[[#This Row],[Ticket Price]],Table242[[#This Row],[Passenger Count]])</f>
        <v>3880000</v>
      </c>
      <c r="L346" s="15">
        <f>Table242[[#This Row],[Revenue]]*(1-$Q$2)</f>
        <v>3492000</v>
      </c>
      <c r="M346" t="str">
        <f t="shared" si="5"/>
        <v>Late</v>
      </c>
      <c r="N346">
        <f>IF(Table242[[#This Row],[Performance Rating]]="On Time",1,0)</f>
        <v>0</v>
      </c>
    </row>
    <row r="347" spans="1:14" x14ac:dyDescent="0.35">
      <c r="A347" t="s">
        <v>342</v>
      </c>
      <c r="B347" t="s">
        <v>517</v>
      </c>
      <c r="C347" t="s">
        <v>585</v>
      </c>
      <c r="D347" s="2" t="s">
        <v>587</v>
      </c>
      <c r="E347" s="1" t="s">
        <v>592</v>
      </c>
      <c r="F347" s="3">
        <v>-3</v>
      </c>
      <c r="G347" s="4">
        <v>60000</v>
      </c>
      <c r="H347" s="5">
        <v>126</v>
      </c>
      <c r="I347" s="6">
        <v>45744</v>
      </c>
      <c r="J347" s="2" t="s">
        <v>598</v>
      </c>
      <c r="K347" s="15">
        <f>PRODUCT(Table242[[#This Row],[Ticket Price]],Table242[[#This Row],[Passenger Count]])</f>
        <v>7560000</v>
      </c>
      <c r="L347" s="15">
        <f>Table242[[#This Row],[Revenue]]*(1-$Q$2)</f>
        <v>6804000</v>
      </c>
      <c r="M347" t="str">
        <f t="shared" si="5"/>
        <v>On Time</v>
      </c>
      <c r="N347">
        <f>IF(Table242[[#This Row],[Performance Rating]]="On Time",1,0)</f>
        <v>1</v>
      </c>
    </row>
    <row r="348" spans="1:14" x14ac:dyDescent="0.35">
      <c r="A348" t="s">
        <v>343</v>
      </c>
      <c r="B348" t="s">
        <v>580</v>
      </c>
      <c r="C348" t="s">
        <v>584</v>
      </c>
      <c r="D348" s="2" t="s">
        <v>589</v>
      </c>
      <c r="E348" s="1" t="s">
        <v>595</v>
      </c>
      <c r="F348" s="3">
        <v>92</v>
      </c>
      <c r="G348" s="4">
        <v>135000</v>
      </c>
      <c r="H348" s="5">
        <v>125</v>
      </c>
      <c r="I348" s="6">
        <v>45795</v>
      </c>
      <c r="J348" s="2" t="s">
        <v>597</v>
      </c>
      <c r="K348" s="15">
        <f>PRODUCT(Table242[[#This Row],[Ticket Price]],Table242[[#This Row],[Passenger Count]])</f>
        <v>16875000</v>
      </c>
      <c r="L348" s="15">
        <f>Table242[[#This Row],[Revenue]]*(1-$Q$2)</f>
        <v>15187500</v>
      </c>
      <c r="M348" t="str">
        <f t="shared" si="5"/>
        <v>Late</v>
      </c>
      <c r="N348">
        <f>IF(Table242[[#This Row],[Performance Rating]]="On Time",1,0)</f>
        <v>0</v>
      </c>
    </row>
    <row r="349" spans="1:14" x14ac:dyDescent="0.35">
      <c r="A349" t="s">
        <v>344</v>
      </c>
      <c r="B349" t="s">
        <v>545</v>
      </c>
      <c r="C349" t="s">
        <v>585</v>
      </c>
      <c r="D349" s="2" t="s">
        <v>583</v>
      </c>
      <c r="E349" s="1" t="s">
        <v>595</v>
      </c>
      <c r="F349" s="3">
        <v>175</v>
      </c>
      <c r="G349" s="4">
        <v>80000</v>
      </c>
      <c r="H349" s="5">
        <v>110</v>
      </c>
      <c r="I349" s="6">
        <v>45797</v>
      </c>
      <c r="J349" s="2" t="s">
        <v>598</v>
      </c>
      <c r="K349" s="15">
        <f>PRODUCT(Table242[[#This Row],[Ticket Price]],Table242[[#This Row],[Passenger Count]])</f>
        <v>8800000</v>
      </c>
      <c r="L349" s="15">
        <f>Table242[[#This Row],[Revenue]]*(1-$Q$2)</f>
        <v>7920000</v>
      </c>
      <c r="M349" t="str">
        <f t="shared" si="5"/>
        <v>Late</v>
      </c>
      <c r="N349">
        <f>IF(Table242[[#This Row],[Performance Rating]]="On Time",1,0)</f>
        <v>0</v>
      </c>
    </row>
    <row r="350" spans="1:14" x14ac:dyDescent="0.35">
      <c r="A350" t="s">
        <v>345</v>
      </c>
      <c r="B350" t="s">
        <v>554</v>
      </c>
      <c r="C350" t="s">
        <v>585</v>
      </c>
      <c r="D350" s="2" t="s">
        <v>584</v>
      </c>
      <c r="E350" s="1" t="s">
        <v>594</v>
      </c>
      <c r="F350" s="3">
        <v>76</v>
      </c>
      <c r="G350" s="4">
        <v>115000</v>
      </c>
      <c r="H350" s="5">
        <v>93</v>
      </c>
      <c r="I350" s="6">
        <v>45714</v>
      </c>
      <c r="J350" s="2" t="s">
        <v>598</v>
      </c>
      <c r="K350" s="15">
        <f>PRODUCT(Table242[[#This Row],[Ticket Price]],Table242[[#This Row],[Passenger Count]])</f>
        <v>10695000</v>
      </c>
      <c r="L350" s="15">
        <f>Table242[[#This Row],[Revenue]]*(1-$Q$2)</f>
        <v>9625500</v>
      </c>
      <c r="M350" t="str">
        <f t="shared" si="5"/>
        <v>Late</v>
      </c>
      <c r="N350">
        <f>IF(Table242[[#This Row],[Performance Rating]]="On Time",1,0)</f>
        <v>0</v>
      </c>
    </row>
    <row r="351" spans="1:14" x14ac:dyDescent="0.35">
      <c r="A351" t="s">
        <v>346</v>
      </c>
      <c r="B351" t="s">
        <v>506</v>
      </c>
      <c r="C351" t="s">
        <v>586</v>
      </c>
      <c r="D351" s="2" t="s">
        <v>582</v>
      </c>
      <c r="E351" s="1" t="s">
        <v>593</v>
      </c>
      <c r="F351" s="3">
        <v>25</v>
      </c>
      <c r="G351" s="4">
        <v>115000</v>
      </c>
      <c r="H351" s="5">
        <v>168</v>
      </c>
      <c r="I351" s="6">
        <v>45740</v>
      </c>
      <c r="J351" s="2" t="s">
        <v>598</v>
      </c>
      <c r="K351" s="15">
        <f>PRODUCT(Table242[[#This Row],[Ticket Price]],Table242[[#This Row],[Passenger Count]])</f>
        <v>19320000</v>
      </c>
      <c r="L351" s="15">
        <f>Table242[[#This Row],[Revenue]]*(1-$Q$2)</f>
        <v>17388000</v>
      </c>
      <c r="M351" t="str">
        <f t="shared" si="5"/>
        <v>Slight Delay</v>
      </c>
      <c r="N351">
        <f>IF(Table242[[#This Row],[Performance Rating]]="On Time",1,0)</f>
        <v>0</v>
      </c>
    </row>
    <row r="352" spans="1:14" x14ac:dyDescent="0.35">
      <c r="A352"/>
      <c r="D352"/>
      <c r="F352"/>
      <c r="G352"/>
      <c r="H352"/>
      <c r="I352"/>
      <c r="J352"/>
      <c r="K352"/>
    </row>
    <row r="353" spans="1:12" x14ac:dyDescent="0.35">
      <c r="A353"/>
      <c r="D353"/>
      <c r="F353"/>
      <c r="G353"/>
      <c r="H353"/>
      <c r="I353"/>
      <c r="J353" s="1"/>
      <c r="K353"/>
      <c r="L353"/>
    </row>
    <row r="354" spans="1:12" x14ac:dyDescent="0.35">
      <c r="A354"/>
      <c r="D354"/>
      <c r="F354"/>
      <c r="G354"/>
      <c r="H354"/>
      <c r="I354"/>
      <c r="J354" s="1"/>
      <c r="K354"/>
      <c r="L354"/>
    </row>
    <row r="355" spans="1:12" x14ac:dyDescent="0.35">
      <c r="A355"/>
      <c r="D355"/>
      <c r="F355"/>
      <c r="G355"/>
      <c r="H355"/>
      <c r="I355"/>
      <c r="J355"/>
      <c r="K355"/>
    </row>
    <row r="356" spans="1:12" x14ac:dyDescent="0.35">
      <c r="A356"/>
      <c r="D356"/>
      <c r="F356"/>
      <c r="G356"/>
      <c r="H356"/>
      <c r="I356"/>
      <c r="J356"/>
      <c r="K356"/>
    </row>
  </sheetData>
  <mergeCells count="6">
    <mergeCell ref="Q31:R31"/>
    <mergeCell ref="Q5:R5"/>
    <mergeCell ref="Q10:R10"/>
    <mergeCell ref="Q15:R15"/>
    <mergeCell ref="Q20:R20"/>
    <mergeCell ref="Q26:R26"/>
  </mergeCells>
  <conditionalFormatting sqref="F2:F351">
    <cfRule type="cellIs" dxfId="24" priority="1" operator="greaterThan">
      <formula>60</formula>
    </cfRule>
    <cfRule type="cellIs" dxfId="23" priority="2" operator="lessThan">
      <formula>11</formula>
    </cfRule>
  </conditionalFormatting>
  <dataValidations count="2">
    <dataValidation type="list" allowBlank="1" showInputMessage="1" showErrorMessage="1" sqref="R21" xr:uid="{01B86447-0998-42A3-8B6F-A97F97229844}">
      <formula1>$A$1:$M$1</formula1>
    </dataValidation>
    <dataValidation type="list" allowBlank="1" showInputMessage="1" showErrorMessage="1" sqref="Q7 Q12 Q17 Q22" xr:uid="{7361EE8D-1980-468E-8D1D-DACE2F953324}">
      <formula1>$B$2:$B$351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7E0D-8DAC-4706-B8EB-A8CCD1245092}">
  <dimension ref="A3:J87"/>
  <sheetViews>
    <sheetView workbookViewId="0"/>
  </sheetViews>
  <sheetFormatPr defaultRowHeight="14.5" x14ac:dyDescent="0.35"/>
  <cols>
    <col min="1" max="1" width="24.453125" bestFit="1" customWidth="1"/>
    <col min="2" max="2" width="21.36328125" bestFit="1" customWidth="1"/>
    <col min="3" max="3" width="15.453125" bestFit="1" customWidth="1"/>
    <col min="4" max="4" width="12.36328125" bestFit="1" customWidth="1"/>
    <col min="5" max="5" width="13.453125" bestFit="1" customWidth="1"/>
    <col min="6" max="7" width="16.54296875" bestFit="1" customWidth="1"/>
  </cols>
  <sheetData>
    <row r="3" spans="1:10" x14ac:dyDescent="0.35">
      <c r="A3" t="s">
        <v>626</v>
      </c>
      <c r="B3" t="s">
        <v>627</v>
      </c>
      <c r="C3" t="s">
        <v>628</v>
      </c>
      <c r="D3" t="s">
        <v>629</v>
      </c>
      <c r="E3" t="s">
        <v>643</v>
      </c>
    </row>
    <row r="4" spans="1:10" x14ac:dyDescent="0.35">
      <c r="A4" s="29">
        <v>3268858500</v>
      </c>
      <c r="B4" s="30">
        <v>41724</v>
      </c>
      <c r="C4" s="1">
        <v>350</v>
      </c>
      <c r="D4" s="31">
        <v>86828.571428571435</v>
      </c>
      <c r="E4" s="35">
        <v>7.7142857142857138E-2</v>
      </c>
    </row>
    <row r="6" spans="1:10" x14ac:dyDescent="0.35">
      <c r="J6" t="s">
        <v>632</v>
      </c>
    </row>
    <row r="8" spans="1:10" x14ac:dyDescent="0.35">
      <c r="D8" s="32" t="s">
        <v>630</v>
      </c>
      <c r="E8" t="s">
        <v>626</v>
      </c>
    </row>
    <row r="9" spans="1:10" x14ac:dyDescent="0.35">
      <c r="D9" s="33" t="s">
        <v>633</v>
      </c>
      <c r="E9" s="34">
        <v>628987500</v>
      </c>
    </row>
    <row r="10" spans="1:10" x14ac:dyDescent="0.35">
      <c r="A10" s="32" t="s">
        <v>630</v>
      </c>
      <c r="B10" t="s">
        <v>626</v>
      </c>
      <c r="D10" s="33" t="s">
        <v>634</v>
      </c>
      <c r="E10" s="34">
        <v>393246000</v>
      </c>
    </row>
    <row r="11" spans="1:10" x14ac:dyDescent="0.35">
      <c r="A11" s="33" t="s">
        <v>582</v>
      </c>
      <c r="B11" s="34">
        <v>374719500</v>
      </c>
      <c r="D11" s="33" t="s">
        <v>635</v>
      </c>
      <c r="E11" s="34">
        <v>621189000</v>
      </c>
    </row>
    <row r="12" spans="1:10" x14ac:dyDescent="0.35">
      <c r="A12" s="33" t="s">
        <v>585</v>
      </c>
      <c r="B12" s="34">
        <v>401008500</v>
      </c>
      <c r="D12" s="33" t="s">
        <v>636</v>
      </c>
      <c r="E12" s="34">
        <v>523678500</v>
      </c>
    </row>
    <row r="13" spans="1:10" x14ac:dyDescent="0.35">
      <c r="A13" s="33" t="s">
        <v>584</v>
      </c>
      <c r="B13" s="34">
        <v>437472000</v>
      </c>
      <c r="D13" s="33" t="s">
        <v>637</v>
      </c>
      <c r="E13" s="34">
        <v>557554500</v>
      </c>
    </row>
    <row r="14" spans="1:10" x14ac:dyDescent="0.35">
      <c r="A14" s="33" t="s">
        <v>583</v>
      </c>
      <c r="B14" s="34">
        <v>442710000</v>
      </c>
      <c r="D14" s="33" t="s">
        <v>638</v>
      </c>
      <c r="E14" s="34">
        <v>544203000</v>
      </c>
    </row>
    <row r="15" spans="1:10" x14ac:dyDescent="0.35">
      <c r="A15" s="33" t="s">
        <v>581</v>
      </c>
      <c r="B15" s="34">
        <v>445549500</v>
      </c>
      <c r="D15" s="33" t="s">
        <v>631</v>
      </c>
      <c r="E15" s="34">
        <v>3268858500</v>
      </c>
    </row>
    <row r="16" spans="1:10" x14ac:dyDescent="0.35">
      <c r="A16" s="33" t="s">
        <v>587</v>
      </c>
      <c r="B16" s="34">
        <v>459477000</v>
      </c>
    </row>
    <row r="17" spans="1:5" x14ac:dyDescent="0.35">
      <c r="A17" s="33" t="s">
        <v>631</v>
      </c>
      <c r="B17" s="34">
        <v>2560936500</v>
      </c>
    </row>
    <row r="21" spans="1:5" x14ac:dyDescent="0.35">
      <c r="D21" s="32" t="s">
        <v>630</v>
      </c>
      <c r="E21" t="s">
        <v>627</v>
      </c>
    </row>
    <row r="22" spans="1:5" x14ac:dyDescent="0.35">
      <c r="D22" s="33" t="s">
        <v>633</v>
      </c>
      <c r="E22" s="1">
        <v>8099</v>
      </c>
    </row>
    <row r="23" spans="1:5" x14ac:dyDescent="0.35">
      <c r="D23" s="33" t="s">
        <v>634</v>
      </c>
      <c r="E23" s="1">
        <v>5216</v>
      </c>
    </row>
    <row r="24" spans="1:5" x14ac:dyDescent="0.35">
      <c r="D24" s="33" t="s">
        <v>635</v>
      </c>
      <c r="E24" s="1">
        <v>7720</v>
      </c>
    </row>
    <row r="25" spans="1:5" x14ac:dyDescent="0.35">
      <c r="D25" s="33" t="s">
        <v>636</v>
      </c>
      <c r="E25" s="1">
        <v>6952</v>
      </c>
    </row>
    <row r="26" spans="1:5" x14ac:dyDescent="0.35">
      <c r="D26" s="33" t="s">
        <v>637</v>
      </c>
      <c r="E26" s="1">
        <v>6779</v>
      </c>
    </row>
    <row r="27" spans="1:5" x14ac:dyDescent="0.35">
      <c r="D27" s="33" t="s">
        <v>638</v>
      </c>
      <c r="E27" s="1">
        <v>6958</v>
      </c>
    </row>
    <row r="28" spans="1:5" x14ac:dyDescent="0.35">
      <c r="A28" s="32" t="s">
        <v>630</v>
      </c>
      <c r="B28" t="s">
        <v>626</v>
      </c>
      <c r="D28" s="33" t="s">
        <v>631</v>
      </c>
      <c r="E28" s="1">
        <v>41724</v>
      </c>
    </row>
    <row r="29" spans="1:5" x14ac:dyDescent="0.35">
      <c r="A29" s="33" t="s">
        <v>633</v>
      </c>
      <c r="B29" s="34">
        <v>628987500</v>
      </c>
    </row>
    <row r="30" spans="1:5" x14ac:dyDescent="0.35">
      <c r="A30" s="33" t="s">
        <v>634</v>
      </c>
      <c r="B30" s="34">
        <v>393246000</v>
      </c>
    </row>
    <row r="31" spans="1:5" x14ac:dyDescent="0.35">
      <c r="A31" s="33" t="s">
        <v>635</v>
      </c>
      <c r="B31" s="34">
        <v>621189000</v>
      </c>
    </row>
    <row r="32" spans="1:5" x14ac:dyDescent="0.35">
      <c r="A32" s="33" t="s">
        <v>636</v>
      </c>
      <c r="B32" s="34">
        <v>523678500</v>
      </c>
    </row>
    <row r="33" spans="1:5" x14ac:dyDescent="0.35">
      <c r="A33" s="33" t="s">
        <v>637</v>
      </c>
      <c r="B33" s="34">
        <v>557554500</v>
      </c>
    </row>
    <row r="34" spans="1:5" x14ac:dyDescent="0.35">
      <c r="A34" s="33" t="s">
        <v>638</v>
      </c>
      <c r="B34" s="34">
        <v>544203000</v>
      </c>
    </row>
    <row r="35" spans="1:5" x14ac:dyDescent="0.35">
      <c r="A35" s="33" t="s">
        <v>631</v>
      </c>
      <c r="B35" s="34">
        <v>3268858500</v>
      </c>
    </row>
    <row r="38" spans="1:5" x14ac:dyDescent="0.35">
      <c r="D38" s="32" t="s">
        <v>630</v>
      </c>
      <c r="E38" t="s">
        <v>628</v>
      </c>
    </row>
    <row r="39" spans="1:5" x14ac:dyDescent="0.35">
      <c r="D39" s="33" t="s">
        <v>633</v>
      </c>
      <c r="E39" s="1">
        <v>70</v>
      </c>
    </row>
    <row r="40" spans="1:5" x14ac:dyDescent="0.35">
      <c r="D40" s="33" t="s">
        <v>634</v>
      </c>
      <c r="E40" s="1">
        <v>45</v>
      </c>
    </row>
    <row r="41" spans="1:5" x14ac:dyDescent="0.35">
      <c r="D41" s="33" t="s">
        <v>635</v>
      </c>
      <c r="E41" s="1">
        <v>65</v>
      </c>
    </row>
    <row r="42" spans="1:5" x14ac:dyDescent="0.35">
      <c r="D42" s="33" t="s">
        <v>636</v>
      </c>
      <c r="E42" s="1">
        <v>56</v>
      </c>
    </row>
    <row r="43" spans="1:5" x14ac:dyDescent="0.35">
      <c r="D43" s="33" t="s">
        <v>637</v>
      </c>
      <c r="E43" s="1">
        <v>55</v>
      </c>
    </row>
    <row r="44" spans="1:5" x14ac:dyDescent="0.35">
      <c r="D44" s="33" t="s">
        <v>638</v>
      </c>
      <c r="E44" s="1">
        <v>59</v>
      </c>
    </row>
    <row r="45" spans="1:5" x14ac:dyDescent="0.35">
      <c r="D45" s="33" t="s">
        <v>631</v>
      </c>
      <c r="E45" s="1">
        <v>350</v>
      </c>
    </row>
    <row r="48" spans="1:5" x14ac:dyDescent="0.35">
      <c r="A48" s="32" t="s">
        <v>630</v>
      </c>
      <c r="B48" t="s">
        <v>628</v>
      </c>
    </row>
    <row r="49" spans="1:5" x14ac:dyDescent="0.35">
      <c r="A49" s="33" t="s">
        <v>594</v>
      </c>
      <c r="B49" s="1">
        <v>62</v>
      </c>
    </row>
    <row r="50" spans="1:5" x14ac:dyDescent="0.35">
      <c r="A50" s="33" t="s">
        <v>595</v>
      </c>
      <c r="B50" s="1">
        <v>69</v>
      </c>
    </row>
    <row r="51" spans="1:5" x14ac:dyDescent="0.35">
      <c r="A51" s="33" t="s">
        <v>593</v>
      </c>
      <c r="B51" s="1">
        <v>71</v>
      </c>
    </row>
    <row r="52" spans="1:5" x14ac:dyDescent="0.35">
      <c r="A52" s="33" t="s">
        <v>592</v>
      </c>
      <c r="B52" s="1">
        <v>73</v>
      </c>
    </row>
    <row r="53" spans="1:5" x14ac:dyDescent="0.35">
      <c r="A53" s="33" t="s">
        <v>596</v>
      </c>
      <c r="B53" s="1">
        <v>75</v>
      </c>
    </row>
    <row r="54" spans="1:5" x14ac:dyDescent="0.35">
      <c r="A54" s="33" t="s">
        <v>631</v>
      </c>
      <c r="B54" s="1">
        <v>350</v>
      </c>
    </row>
    <row r="57" spans="1:5" x14ac:dyDescent="0.35">
      <c r="D57" s="32" t="s">
        <v>630</v>
      </c>
      <c r="E57" t="s">
        <v>629</v>
      </c>
    </row>
    <row r="58" spans="1:5" x14ac:dyDescent="0.35">
      <c r="D58" s="33" t="s">
        <v>633</v>
      </c>
      <c r="E58" s="31">
        <v>83857.142857142855</v>
      </c>
    </row>
    <row r="59" spans="1:5" x14ac:dyDescent="0.35">
      <c r="D59" s="33" t="s">
        <v>634</v>
      </c>
      <c r="E59" s="31">
        <v>87333.333333333328</v>
      </c>
    </row>
    <row r="60" spans="1:5" x14ac:dyDescent="0.35">
      <c r="D60" s="33" t="s">
        <v>635</v>
      </c>
      <c r="E60" s="31">
        <v>89384.61538461539</v>
      </c>
    </row>
    <row r="61" spans="1:5" x14ac:dyDescent="0.35">
      <c r="D61" s="33" t="s">
        <v>636</v>
      </c>
      <c r="E61" s="31">
        <v>83571.428571428565</v>
      </c>
    </row>
    <row r="62" spans="1:5" x14ac:dyDescent="0.35">
      <c r="D62" s="33" t="s">
        <v>637</v>
      </c>
      <c r="E62" s="31">
        <v>91636.363636363632</v>
      </c>
    </row>
    <row r="63" spans="1:5" x14ac:dyDescent="0.35">
      <c r="D63" s="33" t="s">
        <v>638</v>
      </c>
      <c r="E63" s="31">
        <v>85762.711864406781</v>
      </c>
    </row>
    <row r="64" spans="1:5" x14ac:dyDescent="0.35">
      <c r="D64" s="33" t="s">
        <v>631</v>
      </c>
      <c r="E64" s="31">
        <v>86828.571428571435</v>
      </c>
    </row>
    <row r="65" spans="1:5" x14ac:dyDescent="0.35">
      <c r="A65" s="32" t="s">
        <v>630</v>
      </c>
      <c r="B65" t="s">
        <v>628</v>
      </c>
    </row>
    <row r="66" spans="1:5" x14ac:dyDescent="0.35">
      <c r="A66" s="33" t="s">
        <v>639</v>
      </c>
      <c r="B66" s="1">
        <v>273</v>
      </c>
    </row>
    <row r="67" spans="1:5" x14ac:dyDescent="0.35">
      <c r="A67" s="33" t="s">
        <v>641</v>
      </c>
      <c r="B67" s="1">
        <v>50</v>
      </c>
    </row>
    <row r="68" spans="1:5" x14ac:dyDescent="0.35">
      <c r="A68" s="33" t="s">
        <v>640</v>
      </c>
      <c r="B68" s="1">
        <v>27</v>
      </c>
    </row>
    <row r="69" spans="1:5" x14ac:dyDescent="0.35">
      <c r="A69" s="33" t="s">
        <v>631</v>
      </c>
      <c r="B69" s="1">
        <v>350</v>
      </c>
    </row>
    <row r="71" spans="1:5" x14ac:dyDescent="0.35">
      <c r="D71" s="32" t="s">
        <v>630</v>
      </c>
      <c r="E71" t="s">
        <v>644</v>
      </c>
    </row>
    <row r="72" spans="1:5" x14ac:dyDescent="0.35">
      <c r="D72" s="33" t="s">
        <v>633</v>
      </c>
      <c r="E72" s="1">
        <v>8</v>
      </c>
    </row>
    <row r="73" spans="1:5" x14ac:dyDescent="0.35">
      <c r="D73" s="33" t="s">
        <v>634</v>
      </c>
      <c r="E73" s="1">
        <v>2</v>
      </c>
    </row>
    <row r="74" spans="1:5" x14ac:dyDescent="0.35">
      <c r="D74" s="33" t="s">
        <v>635</v>
      </c>
      <c r="E74" s="1">
        <v>8</v>
      </c>
    </row>
    <row r="75" spans="1:5" x14ac:dyDescent="0.35">
      <c r="D75" s="33" t="s">
        <v>636</v>
      </c>
      <c r="E75" s="1">
        <v>4</v>
      </c>
    </row>
    <row r="76" spans="1:5" x14ac:dyDescent="0.35">
      <c r="D76" s="33" t="s">
        <v>637</v>
      </c>
      <c r="E76" s="1">
        <v>3</v>
      </c>
    </row>
    <row r="77" spans="1:5" x14ac:dyDescent="0.35">
      <c r="D77" s="33" t="s">
        <v>638</v>
      </c>
      <c r="E77" s="1">
        <v>2</v>
      </c>
    </row>
    <row r="78" spans="1:5" x14ac:dyDescent="0.35">
      <c r="D78" s="33" t="s">
        <v>631</v>
      </c>
      <c r="E78" s="1">
        <v>27</v>
      </c>
    </row>
    <row r="84" spans="1:2" x14ac:dyDescent="0.35">
      <c r="A84" s="32" t="s">
        <v>630</v>
      </c>
      <c r="B84" t="s">
        <v>628</v>
      </c>
    </row>
    <row r="85" spans="1:2" x14ac:dyDescent="0.35">
      <c r="A85" s="33" t="s">
        <v>598</v>
      </c>
      <c r="B85" s="1">
        <v>164</v>
      </c>
    </row>
    <row r="86" spans="1:2" x14ac:dyDescent="0.35">
      <c r="A86" s="33" t="s">
        <v>597</v>
      </c>
      <c r="B86" s="1">
        <v>186</v>
      </c>
    </row>
    <row r="87" spans="1:2" x14ac:dyDescent="0.35">
      <c r="A87" s="33" t="s">
        <v>631</v>
      </c>
      <c r="B87" s="1">
        <v>350</v>
      </c>
    </row>
  </sheetData>
  <pageMargins left="0.7" right="0.7" top="0.75" bottom="0.75" header="0.3" footer="0.3"/>
  <pageSetup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7491-E734-4941-92E5-A2EA0361E14D}">
  <dimension ref="A1"/>
  <sheetViews>
    <sheetView showGridLines="0" tabSelected="1" topLeftCell="A4" zoomScaleNormal="100" workbookViewId="0">
      <selection activeCell="R16" sqref="R1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SOLUTION</vt:lpstr>
      <vt:lpstr>Sheet1 (2)</vt:lpstr>
      <vt:lpstr>DATA SET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Chris</cp:lastModifiedBy>
  <dcterms:created xsi:type="dcterms:W3CDTF">2025-10-07T14:46:23Z</dcterms:created>
  <dcterms:modified xsi:type="dcterms:W3CDTF">2025-11-06T04:57:34Z</dcterms:modified>
</cp:coreProperties>
</file>